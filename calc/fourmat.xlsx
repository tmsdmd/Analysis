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13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Main" sheetId="1" state="visible" r:id="rId3"/>
    <sheet name="Max-Min" sheetId="2" state="visible" r:id="rId4"/>
    <sheet name="If-Ifs" sheetId="3" state="visible" r:id="rId5"/>
    <sheet name="Len" sheetId="4" state="visible" r:id="rId6"/>
    <sheet name="Left-Right" sheetId="5" state="visible" r:id="rId7"/>
    <sheet name="Date to text" sheetId="6" state="visible" r:id="rId8"/>
    <sheet name="Trim" sheetId="7" state="visible" r:id="rId9"/>
    <sheet name="Concatenate" sheetId="8" state="visible" r:id="rId10"/>
    <sheet name="Substitute" sheetId="9" state="visible" r:id="rId11"/>
    <sheet name="Sum" sheetId="10" state="visible" r:id="rId12"/>
    <sheet name="Count" sheetId="11" state="visible" r:id="rId13"/>
    <sheet name="Days-NetworkDays" sheetId="12" state="visible" r:id="rId14"/>
    <sheet name="Lookup for xlookup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Noto Sans Arabic UI"/>
            <family val="2"/>
          </rPr>
          <t xml:space="preserve">ك </t>
        </r>
        <r>
          <rPr>
            <sz val="10"/>
            <rFont val="Arial"/>
            <family val="2"/>
            <charset val="1"/>
          </rPr>
          <t xml:space="preserve">if العادية شرط وله قيمة تحقق ولا تحقق</t>
        </r>
      </text>
    </comment>
    <comment ref="J2" authorId="0">
      <text>
        <r>
          <rPr>
            <sz val="10"/>
            <rFont val="Noto Sans Arabic UI"/>
            <family val="2"/>
          </rPr>
          <t xml:space="preserve">خيارات متعددة بشروطها ك </t>
        </r>
        <r>
          <rPr>
            <sz val="10"/>
            <rFont val="Arial"/>
            <family val="2"/>
            <charset val="1"/>
          </rPr>
          <t xml:space="preserve">swith case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" authorId="0">
      <text>
        <r>
          <rPr>
            <sz val="10"/>
            <rFont val="Noto Sans Arabic UI"/>
            <family val="2"/>
          </rPr>
          <t xml:space="preserve">مثلا تحديد رقم القيد او الرقم الوطني له  طول محدد مثلا </t>
        </r>
        <r>
          <rPr>
            <sz val="10"/>
            <rFont val="Arial"/>
            <family val="2"/>
            <charset val="1"/>
          </rPr>
          <t xml:space="preserve">10 اذا كان اقل او اكثر لا يقبل القيمة.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Noto Sans Arabic UI"/>
            <family val="2"/>
          </rPr>
          <t xml:space="preserve">توحيد نصوص لكتابة نص اخر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2" authorId="0">
      <text>
        <r>
          <rPr>
            <sz val="10"/>
            <rFont val="Arial"/>
            <family val="2"/>
          </rPr>
          <t xml:space="preserve">Replce with rules  or without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Noto Sans Devanagari"/>
            <family val="2"/>
            <charset val="1"/>
          </rPr>
          <t xml:space="preserve">توحيد نصوص لكتابة نص اخر</t>
        </r>
      </text>
    </comment>
  </commentList>
</comments>
</file>

<file path=xl/sharedStrings.xml><?xml version="1.0" encoding="utf-8"?>
<sst xmlns="http://schemas.openxmlformats.org/spreadsheetml/2006/main" count="787" uniqueCount="88">
  <si>
    <t xml:space="preserve">FirstName</t>
  </si>
  <si>
    <t xml:space="preserve">LastName</t>
  </si>
  <si>
    <t xml:space="preserve">Age</t>
  </si>
  <si>
    <t xml:space="preserve">Gender</t>
  </si>
  <si>
    <t xml:space="preserve">JobTitle</t>
  </si>
  <si>
    <t xml:space="preserve">Salary</t>
  </si>
  <si>
    <t xml:space="preserve">StartDate</t>
  </si>
  <si>
    <t xml:space="preserve">EndDate</t>
  </si>
  <si>
    <t xml:space="preserve">Email</t>
  </si>
  <si>
    <t xml:space="preserve">Left</t>
  </si>
  <si>
    <t xml:space="preserve">Right</t>
  </si>
  <si>
    <t xml:space="preserve">jim</t>
  </si>
  <si>
    <t xml:space="preserve">HA</t>
  </si>
  <si>
    <t xml:space="preserve">m</t>
  </si>
  <si>
    <t xml:space="preserve">salesman</t>
  </si>
  <si>
    <t xml:space="preserve">jim@mail.com</t>
  </si>
  <si>
    <t xml:space="preserve">pam</t>
  </si>
  <si>
    <t xml:space="preserve">SC</t>
  </si>
  <si>
    <t xml:space="preserve">f</t>
  </si>
  <si>
    <t xml:space="preserve">receptionist</t>
  </si>
  <si>
    <t xml:space="preserve">pam@mail.com</t>
  </si>
  <si>
    <t xml:space="preserve">angela</t>
  </si>
  <si>
    <t xml:space="preserve">MA</t>
  </si>
  <si>
    <t xml:space="preserve">Accountant</t>
  </si>
  <si>
    <t xml:space="preserve">angela@mail.com</t>
  </si>
  <si>
    <t xml:space="preserve">Toby</t>
  </si>
  <si>
    <t xml:space="preserve">Fl</t>
  </si>
  <si>
    <t xml:space="preserve">HR</t>
  </si>
  <si>
    <t xml:space="preserve">Toby@mail.com</t>
  </si>
  <si>
    <t xml:space="preserve">Michael</t>
  </si>
  <si>
    <t xml:space="preserve">Sc</t>
  </si>
  <si>
    <t xml:space="preserve">10/13/2017</t>
  </si>
  <si>
    <t xml:space="preserve">Michael@mail.com</t>
  </si>
  <si>
    <t xml:space="preserve">Meredith</t>
  </si>
  <si>
    <t xml:space="preserve">Pl</t>
  </si>
  <si>
    <t xml:space="preserve">RM</t>
  </si>
  <si>
    <t xml:space="preserve">10/14/2013</t>
  </si>
  <si>
    <t xml:space="preserve">Meredith@mail.com</t>
  </si>
  <si>
    <t xml:space="preserve">stanley</t>
  </si>
  <si>
    <t xml:space="preserve">Hudson</t>
  </si>
  <si>
    <t xml:space="preserve">SR</t>
  </si>
  <si>
    <t xml:space="preserve">05/13/2003</t>
  </si>
  <si>
    <t xml:space="preserve">stanley@mail.com</t>
  </si>
  <si>
    <t xml:space="preserve">Kevin</t>
  </si>
  <si>
    <t xml:space="preserve">Malone</t>
  </si>
  <si>
    <t xml:space="preserve">05/14/2002</t>
  </si>
  <si>
    <t xml:space="preserve">10/14/2015</t>
  </si>
  <si>
    <t xml:space="preserve">Kevin@mail.com</t>
  </si>
  <si>
    <t xml:space="preserve">nfas</t>
  </si>
  <si>
    <t xml:space="preserve">ad</t>
  </si>
  <si>
    <t xml:space="preserve">05/15/2003</t>
  </si>
  <si>
    <t xml:space="preserve">nfas@mail.com</t>
  </si>
  <si>
    <t xml:space="preserve">MAX</t>
  </si>
  <si>
    <t xml:space="preserve">Min</t>
  </si>
  <si>
    <t xml:space="preserve">IF</t>
  </si>
  <si>
    <t xml:space="preserve">IFS</t>
  </si>
  <si>
    <t xml:space="preserve">Len</t>
  </si>
  <si>
    <t xml:space="preserve">ID</t>
  </si>
  <si>
    <t xml:space="preserve">06/23/2001</t>
  </si>
  <si>
    <t xml:space="preserve">06/25/2003</t>
  </si>
  <si>
    <t xml:space="preserve">06/21/1999</t>
  </si>
  <si>
    <t xml:space="preserve">06/22/2000</t>
  </si>
  <si>
    <t xml:space="preserve">05/13/1995</t>
  </si>
  <si>
    <t xml:space="preserve">Text</t>
  </si>
  <si>
    <t xml:space="preserve">right</t>
  </si>
  <si>
    <t xml:space="preserve">Trim</t>
  </si>
  <si>
    <t xml:space="preserve">  HA</t>
  </si>
  <si>
    <t xml:space="preserve"> MA</t>
  </si>
  <si>
    <t xml:space="preserve">    ad</t>
  </si>
  <si>
    <t xml:space="preserve">Concatenate</t>
  </si>
  <si>
    <t xml:space="preserve">With 1</t>
  </si>
  <si>
    <t xml:space="preserve">With 2</t>
  </si>
  <si>
    <t xml:space="preserve">With no </t>
  </si>
  <si>
    <t xml:space="preserve">substitute</t>
  </si>
  <si>
    <t xml:space="preserve">06-22-2000</t>
  </si>
  <si>
    <t xml:space="preserve">05-13-2003</t>
  </si>
  <si>
    <t xml:space="preserve">Sum</t>
  </si>
  <si>
    <t xml:space="preserve">SumIf</t>
  </si>
  <si>
    <t xml:space="preserve">SumIFS</t>
  </si>
  <si>
    <t xml:space="preserve">Count</t>
  </si>
  <si>
    <t xml:space="preserve">Countif</t>
  </si>
  <si>
    <t xml:space="preserve">countifs</t>
  </si>
  <si>
    <t xml:space="preserve">Days</t>
  </si>
  <si>
    <t xml:space="preserve">Networkdays</t>
  </si>
  <si>
    <t xml:space="preserve">09/06/2015</t>
  </si>
  <si>
    <t xml:space="preserve">=days(</t>
  </si>
  <si>
    <t xml:space="preserve">09/06/2017</t>
  </si>
  <si>
    <t xml:space="preserve">FullName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</si>
</sst>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Noto Sans Arabic UI"/>
      <family val="2"/>
    </font>
    <font>
      <sz val="10"/>
      <name val="Arial"/>
      <family val="2"/>
    </font>
    <font>
      <sz val="10"/>
      <name val="Noto Sans Devanaga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  <fill>
      <patternFill patternType="solid">
        <fgColor rgb="FFFFFACD"/>
        <bgColor rgb="FFFFF8DC"/>
      </patternFill>
    </fill>
    <fill>
      <patternFill patternType="solid">
        <fgColor rgb="FFFFF8DC"/>
        <bgColor rgb="FFFFFACD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true" indent="0" shrinkToFit="false"/>
    </xf>
    <xf numFmtId="164" fontId="0" fillId="3" borderId="1" applyFont="true" applyBorder="true" applyAlignment="true" applyProtection="false">
      <alignment horizontal="right" vertical="center" textRotation="0" wrapText="true" indent="0" shrinkToFit="false"/>
    </xf>
    <xf numFmtId="164" fontId="0" fillId="3" borderId="2" applyFont="true" applyBorder="true" applyAlignment="true" applyProtection="false">
      <alignment horizontal="right" vertical="center" textRotation="0" wrapText="true" indent="0" shrinkToFit="false"/>
    </xf>
    <xf numFmtId="164" fontId="0" fillId="3" borderId="3" applyFont="true" applyBorder="true" applyAlignment="true" applyProtection="false">
      <alignment horizontal="right" vertical="center" textRotation="0" wrapText="true" indent="0" shrinkToFit="false"/>
    </xf>
    <xf numFmtId="164" fontId="0" fillId="3" borderId="4" applyFont="true" applyBorder="true" applyAlignment="true" applyProtection="false">
      <alignment horizontal="right" vertical="center" textRotation="0" wrapText="true" indent="0" shrinkToFit="false"/>
    </xf>
    <xf numFmtId="164" fontId="0" fillId="3" borderId="5" applyFont="true" applyBorder="true" applyAlignment="true" applyProtection="false">
      <alignment horizontal="right" vertical="center" textRotation="0" wrapText="true" indent="0" shrinkToFit="false"/>
    </xf>
    <xf numFmtId="164" fontId="0" fillId="3" borderId="6" applyFont="true" applyBorder="true" applyAlignment="true" applyProtection="false">
      <alignment horizontal="right" vertical="center" textRotation="0" wrapText="true" indent="0" shrinkToFit="false"/>
    </xf>
    <xf numFmtId="164" fontId="0" fillId="3" borderId="7" applyFont="true" applyBorder="true" applyAlignment="true" applyProtection="false">
      <alignment horizontal="right" vertical="center" textRotation="0" wrapText="true" indent="0" shrinkToFit="false"/>
    </xf>
    <xf numFmtId="164" fontId="0" fillId="3" borderId="8" applyFont="true" applyBorder="true" applyAlignment="true" applyProtection="false">
      <alignment horizontal="right" vertical="center" textRotation="0" wrapText="true" indent="0" shrinkToFit="false"/>
    </xf>
    <xf numFmtId="164" fontId="0" fillId="3" borderId="9" applyFont="true" applyBorder="true" applyAlignment="true" applyProtection="false">
      <alignment horizontal="center" vertical="bottom" textRotation="0" wrapText="true" indent="0" shrinkToFit="false"/>
    </xf>
    <xf numFmtId="164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4" borderId="10" applyFont="true" applyBorder="true" applyAlignment="true" applyProtection="false">
      <alignment horizontal="general" vertical="center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Pivot Table Category" xfId="32"/>
    <cellStyle name="Pivot Table Corner" xfId="33"/>
    <cellStyle name="Pivot Table Field" xfId="34"/>
    <cellStyle name="Pivot Table Result" xfId="35"/>
    <cellStyle name="Pivot Table Title" xfId="36"/>
    <cellStyle name="Pivot Table Value" xfId="37"/>
    <cellStyle name="Result2" xfId="38"/>
  </cellStyles>
  <colors>
    <indexedColors>
      <rgbColor rgb="FF000000"/>
      <rgbColor rgb="FFFFF8D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im@mail.com" TargetMode="External"/><Relationship Id="rId2" Type="http://schemas.openxmlformats.org/officeDocument/2006/relationships/hyperlink" Target="mailto:pam@mail.com" TargetMode="External"/><Relationship Id="rId3" Type="http://schemas.openxmlformats.org/officeDocument/2006/relationships/hyperlink" Target="mailto:angela@mail.com" TargetMode="External"/><Relationship Id="rId4" Type="http://schemas.openxmlformats.org/officeDocument/2006/relationships/hyperlink" Target="mailto:Toby@mail.com" TargetMode="External"/><Relationship Id="rId5" Type="http://schemas.openxmlformats.org/officeDocument/2006/relationships/hyperlink" Target="mailto:Michael@mail.com" TargetMode="External"/><Relationship Id="rId6" Type="http://schemas.openxmlformats.org/officeDocument/2006/relationships/hyperlink" Target="mailto:Meredith@mail.com" TargetMode="External"/><Relationship Id="rId7" Type="http://schemas.openxmlformats.org/officeDocument/2006/relationships/hyperlink" Target="mailto:stanley@mail.com" TargetMode="External"/><Relationship Id="rId8" Type="http://schemas.openxmlformats.org/officeDocument/2006/relationships/hyperlink" Target="mailto:Kevin@mail.com" TargetMode="External"/><Relationship Id="rId9" Type="http://schemas.openxmlformats.org/officeDocument/2006/relationships/hyperlink" Target="mailto:nfas@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cols>
    <col collapsed="false" customWidth="false" hidden="false" outlineLevel="0" max="8" min="7" style="1" width="11.53"/>
    <col collapsed="false" customWidth="true" hidden="false" outlineLevel="0" max="9" min="9" style="2" width="17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2" t="n">
        <v>30</v>
      </c>
      <c r="D2" s="2" t="s">
        <v>13</v>
      </c>
      <c r="E2" s="2" t="s">
        <v>14</v>
      </c>
      <c r="F2" s="2" t="n">
        <v>45000</v>
      </c>
      <c r="G2" s="3" t="n">
        <v>36933</v>
      </c>
      <c r="H2" s="3" t="n">
        <v>42253</v>
      </c>
      <c r="I2" s="4" t="s">
        <v>15</v>
      </c>
    </row>
    <row r="3" customFormat="false" ht="12.8" hidden="false" customHeight="false" outlineLevel="0" collapsed="false">
      <c r="A3" s="2" t="s">
        <v>16</v>
      </c>
      <c r="B3" s="2" t="s">
        <v>17</v>
      </c>
      <c r="C3" s="2" t="n">
        <v>30</v>
      </c>
      <c r="D3" s="2" t="s">
        <v>18</v>
      </c>
      <c r="E3" s="2" t="s">
        <v>19</v>
      </c>
      <c r="F3" s="2" t="n">
        <v>36000</v>
      </c>
      <c r="G3" s="3" t="n">
        <v>36229</v>
      </c>
      <c r="H3" s="3" t="n">
        <v>42287</v>
      </c>
      <c r="I3" s="4" t="s">
        <v>20</v>
      </c>
    </row>
    <row r="4" customFormat="false" ht="12.8" hidden="false" customHeight="false" outlineLevel="0" collapsed="false">
      <c r="A4" s="2" t="s">
        <v>21</v>
      </c>
      <c r="B4" s="2" t="s">
        <v>22</v>
      </c>
      <c r="C4" s="2" t="n">
        <v>29</v>
      </c>
      <c r="D4" s="2" t="s">
        <v>18</v>
      </c>
      <c r="E4" s="2" t="s">
        <v>23</v>
      </c>
      <c r="F4" s="2" t="n">
        <v>63000</v>
      </c>
      <c r="G4" s="3" t="n">
        <v>36833</v>
      </c>
      <c r="H4" s="3" t="n">
        <v>43049</v>
      </c>
      <c r="I4" s="4" t="s">
        <v>24</v>
      </c>
    </row>
    <row r="5" customFormat="false" ht="12.8" hidden="false" customHeight="false" outlineLevel="0" collapsed="false">
      <c r="A5" s="2" t="s">
        <v>25</v>
      </c>
      <c r="B5" s="2" t="s">
        <v>26</v>
      </c>
      <c r="C5" s="2" t="n">
        <v>31</v>
      </c>
      <c r="D5" s="2" t="s">
        <v>13</v>
      </c>
      <c r="E5" s="2" t="s">
        <v>27</v>
      </c>
      <c r="F5" s="2" t="n">
        <v>50000</v>
      </c>
      <c r="G5" s="3" t="n">
        <v>36834</v>
      </c>
      <c r="H5" s="3" t="n">
        <v>42289</v>
      </c>
      <c r="I5" s="4" t="s">
        <v>28</v>
      </c>
    </row>
    <row r="6" customFormat="false" ht="12.8" hidden="false" customHeight="false" outlineLevel="0" collapsed="false">
      <c r="A6" s="2" t="s">
        <v>29</v>
      </c>
      <c r="B6" s="2" t="s">
        <v>30</v>
      </c>
      <c r="C6" s="2" t="n">
        <v>32</v>
      </c>
      <c r="D6" s="2" t="s">
        <v>13</v>
      </c>
      <c r="E6" s="2" t="s">
        <v>23</v>
      </c>
      <c r="F6" s="2" t="n">
        <v>64000</v>
      </c>
      <c r="G6" s="3" t="n">
        <v>37022</v>
      </c>
      <c r="H6" s="3" t="s">
        <v>31</v>
      </c>
      <c r="I6" s="4" t="s">
        <v>32</v>
      </c>
    </row>
    <row r="7" customFormat="false" ht="12.8" hidden="false" customHeight="false" outlineLevel="0" collapsed="false">
      <c r="A7" s="2" t="s">
        <v>33</v>
      </c>
      <c r="B7" s="2" t="s">
        <v>34</v>
      </c>
      <c r="C7" s="2" t="n">
        <v>35</v>
      </c>
      <c r="D7" s="2" t="s">
        <v>18</v>
      </c>
      <c r="E7" s="2" t="s">
        <v>35</v>
      </c>
      <c r="F7" s="2" t="n">
        <v>21000</v>
      </c>
      <c r="G7" s="3" t="n">
        <v>37023</v>
      </c>
      <c r="H7" s="3" t="s">
        <v>36</v>
      </c>
      <c r="I7" s="4" t="s">
        <v>37</v>
      </c>
    </row>
    <row r="8" customFormat="false" ht="12.8" hidden="false" customHeight="false" outlineLevel="0" collapsed="false">
      <c r="A8" s="2" t="s">
        <v>38</v>
      </c>
      <c r="B8" s="2" t="s">
        <v>39</v>
      </c>
      <c r="C8" s="2" t="n">
        <v>32</v>
      </c>
      <c r="D8" s="2" t="s">
        <v>13</v>
      </c>
      <c r="E8" s="2" t="s">
        <v>40</v>
      </c>
      <c r="F8" s="2" t="n">
        <v>20000</v>
      </c>
      <c r="G8" s="3" t="s">
        <v>41</v>
      </c>
      <c r="H8" s="3" t="s">
        <v>36</v>
      </c>
      <c r="I8" s="4" t="s">
        <v>42</v>
      </c>
    </row>
    <row r="9" customFormat="false" ht="12.8" hidden="false" customHeight="false" outlineLevel="0" collapsed="false">
      <c r="A9" s="2" t="s">
        <v>43</v>
      </c>
      <c r="B9" s="2" t="s">
        <v>44</v>
      </c>
      <c r="C9" s="2" t="n">
        <v>38</v>
      </c>
      <c r="D9" s="2" t="s">
        <v>13</v>
      </c>
      <c r="E9" s="2" t="s">
        <v>14</v>
      </c>
      <c r="F9" s="2" t="n">
        <v>48000</v>
      </c>
      <c r="G9" s="3" t="s">
        <v>45</v>
      </c>
      <c r="H9" s="3" t="s">
        <v>46</v>
      </c>
      <c r="I9" s="4" t="s">
        <v>47</v>
      </c>
    </row>
    <row r="10" customFormat="false" ht="12.8" hidden="false" customHeight="false" outlineLevel="0" collapsed="false">
      <c r="A10" s="2" t="s">
        <v>48</v>
      </c>
      <c r="B10" s="2" t="s">
        <v>49</v>
      </c>
      <c r="C10" s="2" t="n">
        <v>31</v>
      </c>
      <c r="D10" s="2" t="s">
        <v>18</v>
      </c>
      <c r="E10" s="2" t="s">
        <v>23</v>
      </c>
      <c r="F10" s="2" t="n">
        <v>33000</v>
      </c>
      <c r="G10" s="3" t="s">
        <v>50</v>
      </c>
      <c r="H10" s="3" t="s">
        <v>46</v>
      </c>
      <c r="I10" s="4" t="s">
        <v>51</v>
      </c>
    </row>
  </sheetData>
  <hyperlinks>
    <hyperlink ref="I2" r:id="rId1" display="jim@mail.com"/>
    <hyperlink ref="I3" r:id="rId2" display="pam@mail.com"/>
    <hyperlink ref="I4" r:id="rId3" display="angela@mail.com"/>
    <hyperlink ref="I5" r:id="rId4" display="Toby@mail.com"/>
    <hyperlink ref="I6" r:id="rId5" display="Michael@mail.com"/>
    <hyperlink ref="I7" r:id="rId6" display="Meredith@mail.com"/>
    <hyperlink ref="I8" r:id="rId7" display="stanley@mail.com"/>
    <hyperlink ref="I9" r:id="rId8" display="Kevin@mail.com"/>
    <hyperlink ref="I10" r:id="rId9" display="nfas@mail.com"/>
  </hyperlinks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5" activeCellId="0" sqref="J5"/>
    </sheetView>
  </sheetViews>
  <sheetFormatPr defaultColWidth="11.53515625" defaultRowHeight="12.8" zeroHeight="false" outlineLevelRow="0" outlineLevelCol="0"/>
  <cols>
    <col collapsed="false" customWidth="false" hidden="false" outlineLevel="0" max="8" min="7" style="5" width="11.53"/>
  </cols>
  <sheetData>
    <row r="2" customFormat="false" ht="12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1" t="s">
        <v>52</v>
      </c>
      <c r="J2" s="1" t="s">
        <v>53</v>
      </c>
    </row>
    <row r="3" customFormat="false" ht="12.8" hidden="false" customHeight="false" outlineLevel="0" collapsed="false">
      <c r="A3" s="6" t="s">
        <v>11</v>
      </c>
      <c r="B3" s="6" t="s">
        <v>12</v>
      </c>
      <c r="C3" s="6" t="n">
        <v>30</v>
      </c>
      <c r="D3" s="6" t="s">
        <v>13</v>
      </c>
      <c r="E3" s="6" t="s">
        <v>14</v>
      </c>
      <c r="F3" s="6" t="n">
        <v>45000</v>
      </c>
      <c r="G3" s="7" t="n">
        <v>36933</v>
      </c>
      <c r="H3" s="7" t="n">
        <v>42253</v>
      </c>
      <c r="I3" s="3" t="n">
        <f aca="false">MAX(G3:G11)</f>
        <v>37022</v>
      </c>
      <c r="J3" s="3" t="n">
        <f aca="false">MIN(G3:G11)</f>
        <v>35038</v>
      </c>
    </row>
    <row r="4" customFormat="false" ht="12.8" hidden="false" customHeight="false" outlineLevel="0" collapsed="false">
      <c r="A4" s="6" t="s">
        <v>16</v>
      </c>
      <c r="B4" s="6" t="s">
        <v>17</v>
      </c>
      <c r="C4" s="6" t="n">
        <v>30</v>
      </c>
      <c r="D4" s="6" t="s">
        <v>18</v>
      </c>
      <c r="E4" s="6" t="s">
        <v>19</v>
      </c>
      <c r="F4" s="6" t="n">
        <v>36000</v>
      </c>
      <c r="G4" s="7" t="n">
        <v>36229</v>
      </c>
      <c r="H4" s="7" t="n">
        <v>42287</v>
      </c>
      <c r="I4" s="2" t="n">
        <f aca="false">MAX(F3:F11)</f>
        <v>64000</v>
      </c>
      <c r="J4" s="1" t="n">
        <f aca="false">MIN(F3:F11)</f>
        <v>20000</v>
      </c>
    </row>
    <row r="5" customFormat="false" ht="12.8" hidden="false" customHeight="false" outlineLevel="0" collapsed="false">
      <c r="A5" s="6" t="s">
        <v>21</v>
      </c>
      <c r="B5" s="6" t="s">
        <v>22</v>
      </c>
      <c r="C5" s="6" t="n">
        <v>29</v>
      </c>
      <c r="D5" s="6" t="s">
        <v>18</v>
      </c>
      <c r="E5" s="6" t="s">
        <v>23</v>
      </c>
      <c r="F5" s="6" t="n">
        <v>63000</v>
      </c>
      <c r="G5" s="7" t="n">
        <v>36833</v>
      </c>
      <c r="H5" s="7" t="n">
        <v>43049</v>
      </c>
      <c r="I5" s="1"/>
      <c r="J5" s="1"/>
    </row>
    <row r="6" customFormat="false" ht="12.8" hidden="false" customHeight="false" outlineLevel="0" collapsed="false">
      <c r="A6" s="6" t="s">
        <v>25</v>
      </c>
      <c r="B6" s="6" t="s">
        <v>26</v>
      </c>
      <c r="C6" s="6" t="n">
        <v>31</v>
      </c>
      <c r="D6" s="6" t="s">
        <v>13</v>
      </c>
      <c r="E6" s="6" t="s">
        <v>27</v>
      </c>
      <c r="F6" s="6" t="n">
        <v>50000</v>
      </c>
      <c r="G6" s="7" t="n">
        <v>36834</v>
      </c>
      <c r="H6" s="7" t="n">
        <v>42289</v>
      </c>
    </row>
    <row r="7" customFormat="false" ht="12.8" hidden="false" customHeight="false" outlineLevel="0" collapsed="false">
      <c r="A7" s="6" t="s">
        <v>29</v>
      </c>
      <c r="B7" s="6" t="s">
        <v>30</v>
      </c>
      <c r="C7" s="6" t="n">
        <v>32</v>
      </c>
      <c r="D7" s="6" t="s">
        <v>13</v>
      </c>
      <c r="E7" s="6" t="s">
        <v>23</v>
      </c>
      <c r="F7" s="6" t="n">
        <v>64000</v>
      </c>
      <c r="G7" s="7" t="n">
        <v>37022</v>
      </c>
      <c r="H7" s="7" t="s">
        <v>31</v>
      </c>
    </row>
    <row r="8" customFormat="false" ht="12.8" hidden="false" customHeight="false" outlineLevel="0" collapsed="false">
      <c r="A8" s="6" t="s">
        <v>33</v>
      </c>
      <c r="B8" s="6" t="s">
        <v>34</v>
      </c>
      <c r="C8" s="6" t="n">
        <v>35</v>
      </c>
      <c r="D8" s="6" t="s">
        <v>18</v>
      </c>
      <c r="E8" s="6" t="s">
        <v>35</v>
      </c>
      <c r="F8" s="6" t="n">
        <v>21000</v>
      </c>
      <c r="G8" s="7" t="n">
        <v>35038</v>
      </c>
      <c r="H8" s="7" t="s">
        <v>36</v>
      </c>
    </row>
    <row r="9" customFormat="false" ht="12.8" hidden="false" customHeight="false" outlineLevel="0" collapsed="false">
      <c r="A9" s="6" t="s">
        <v>38</v>
      </c>
      <c r="B9" s="6" t="s">
        <v>39</v>
      </c>
      <c r="C9" s="6" t="n">
        <v>32</v>
      </c>
      <c r="D9" s="6" t="s">
        <v>13</v>
      </c>
      <c r="E9" s="6" t="s">
        <v>40</v>
      </c>
      <c r="F9" s="6" t="n">
        <v>20000</v>
      </c>
      <c r="G9" s="7" t="s">
        <v>41</v>
      </c>
      <c r="H9" s="7" t="s">
        <v>36</v>
      </c>
    </row>
    <row r="10" customFormat="false" ht="12.8" hidden="false" customHeight="false" outlineLevel="0" collapsed="false">
      <c r="A10" s="6" t="s">
        <v>43</v>
      </c>
      <c r="B10" s="6" t="s">
        <v>44</v>
      </c>
      <c r="C10" s="6" t="n">
        <v>38</v>
      </c>
      <c r="D10" s="6" t="s">
        <v>13</v>
      </c>
      <c r="E10" s="6" t="s">
        <v>14</v>
      </c>
      <c r="F10" s="6" t="n">
        <v>48000</v>
      </c>
      <c r="G10" s="7" t="s">
        <v>45</v>
      </c>
      <c r="H10" s="7" t="s">
        <v>46</v>
      </c>
    </row>
    <row r="11" customFormat="false" ht="12.8" hidden="false" customHeight="false" outlineLevel="0" collapsed="false">
      <c r="A11" s="6" t="s">
        <v>48</v>
      </c>
      <c r="B11" s="6" t="s">
        <v>49</v>
      </c>
      <c r="C11" s="6" t="n">
        <v>31</v>
      </c>
      <c r="D11" s="6" t="s">
        <v>18</v>
      </c>
      <c r="E11" s="6" t="s">
        <v>23</v>
      </c>
      <c r="F11" s="6" t="n">
        <v>33000</v>
      </c>
      <c r="G11" s="7" t="s">
        <v>50</v>
      </c>
      <c r="H11" s="7" t="s">
        <v>46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J8" activeCellId="0" sqref="J8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13.8"/>
    <col collapsed="false" customWidth="true" hidden="false" outlineLevel="0" max="10" min="10" style="1" width="31.3"/>
  </cols>
  <sheetData>
    <row r="2" customFormat="false" ht="12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1" t="s">
        <v>54</v>
      </c>
      <c r="J2" s="1" t="s">
        <v>55</v>
      </c>
    </row>
    <row r="3" customFormat="false" ht="12.8" hidden="false" customHeight="false" outlineLevel="0" collapsed="false">
      <c r="A3" s="6" t="s">
        <v>11</v>
      </c>
      <c r="B3" s="6" t="s">
        <v>12</v>
      </c>
      <c r="C3" s="6" t="n">
        <v>30</v>
      </c>
      <c r="D3" s="6" t="s">
        <v>13</v>
      </c>
      <c r="E3" s="6" t="s">
        <v>14</v>
      </c>
      <c r="F3" s="6" t="n">
        <v>45000</v>
      </c>
      <c r="G3" s="7" t="n">
        <v>36933</v>
      </c>
      <c r="H3" s="7" t="n">
        <v>42253</v>
      </c>
      <c r="I3" s="1" t="str">
        <f aca="false">IF(C3:C11&gt;=30,"old","Young")</f>
        <v>old</v>
      </c>
      <c r="J3" s="1" t="str">
        <f aca="false">_xlfn.IFS(E3:E11="salesman","sales",E3:E11="HR","Fire",E3:E11="Accountant","Give Bouns")</f>
        <v>sales</v>
      </c>
    </row>
    <row r="4" customFormat="false" ht="12.8" hidden="false" customHeight="false" outlineLevel="0" collapsed="false">
      <c r="A4" s="6" t="s">
        <v>16</v>
      </c>
      <c r="B4" s="6" t="s">
        <v>17</v>
      </c>
      <c r="C4" s="6" t="n">
        <v>30</v>
      </c>
      <c r="D4" s="6" t="s">
        <v>18</v>
      </c>
      <c r="E4" s="6" t="s">
        <v>19</v>
      </c>
      <c r="F4" s="6" t="n">
        <v>36000</v>
      </c>
      <c r="G4" s="7" t="n">
        <v>36229</v>
      </c>
      <c r="H4" s="7" t="n">
        <v>42287</v>
      </c>
      <c r="I4" s="1" t="str">
        <f aca="false">IF(C4:C12&gt;=30,"old","Young")</f>
        <v>old</v>
      </c>
      <c r="J4" s="1" t="e">
        <f aca="false">_xlfn.IFS(E4:E12="salesman","sales",E4:E12="HR","Fire",E4:E12="Accountant","Give Bouns")</f>
        <v>#N/A</v>
      </c>
    </row>
    <row r="5" customFormat="false" ht="12.8" hidden="false" customHeight="false" outlineLevel="0" collapsed="false">
      <c r="A5" s="6" t="s">
        <v>21</v>
      </c>
      <c r="B5" s="6" t="s">
        <v>22</v>
      </c>
      <c r="C5" s="6" t="n">
        <v>29</v>
      </c>
      <c r="D5" s="6" t="s">
        <v>18</v>
      </c>
      <c r="E5" s="6" t="s">
        <v>23</v>
      </c>
      <c r="F5" s="6" t="n">
        <v>63000</v>
      </c>
      <c r="G5" s="7" t="n">
        <v>36833</v>
      </c>
      <c r="H5" s="7" t="n">
        <v>43049</v>
      </c>
      <c r="I5" s="1" t="str">
        <f aca="false">IF(C5:C13&gt;=30,"old","Young")</f>
        <v>Young</v>
      </c>
      <c r="J5" s="1" t="str">
        <f aca="false">_xlfn.IFS(E5:E13="salesman","sales",E5:E13="HR","Fire",E5:E13="Accountant","Give Bouns")</f>
        <v>Give Bouns</v>
      </c>
    </row>
    <row r="6" customFormat="false" ht="12.8" hidden="false" customHeight="false" outlineLevel="0" collapsed="false">
      <c r="A6" s="6" t="s">
        <v>25</v>
      </c>
      <c r="B6" s="6" t="s">
        <v>26</v>
      </c>
      <c r="C6" s="6" t="n">
        <v>31</v>
      </c>
      <c r="D6" s="6" t="s">
        <v>13</v>
      </c>
      <c r="E6" s="6" t="s">
        <v>27</v>
      </c>
      <c r="F6" s="6" t="n">
        <v>50000</v>
      </c>
      <c r="G6" s="7" t="n">
        <v>36834</v>
      </c>
      <c r="H6" s="7" t="n">
        <v>42289</v>
      </c>
      <c r="I6" s="1" t="str">
        <f aca="false">IF(C6:C14&gt;=30,"old","Young")</f>
        <v>old</v>
      </c>
      <c r="J6" s="1" t="str">
        <f aca="false">_xlfn.IFS(E6:E14="salesman","sales",E6:E14="HR","Fire",E6:E14="Accountant","Give Bouns")</f>
        <v>Fire</v>
      </c>
    </row>
    <row r="7" customFormat="false" ht="12.8" hidden="false" customHeight="false" outlineLevel="0" collapsed="false">
      <c r="A7" s="6" t="s">
        <v>29</v>
      </c>
      <c r="B7" s="6" t="s">
        <v>30</v>
      </c>
      <c r="C7" s="6" t="n">
        <v>32</v>
      </c>
      <c r="D7" s="6" t="s">
        <v>13</v>
      </c>
      <c r="E7" s="6" t="s">
        <v>23</v>
      </c>
      <c r="F7" s="6" t="n">
        <v>64000</v>
      </c>
      <c r="G7" s="7" t="n">
        <v>37022</v>
      </c>
      <c r="H7" s="7" t="s">
        <v>31</v>
      </c>
      <c r="I7" s="1" t="str">
        <f aca="false">IF(C7:C15&gt;=30,"old","Young")</f>
        <v>old</v>
      </c>
      <c r="J7" s="1" t="str">
        <f aca="false">_xlfn.IFS(E7:E15="salesman","sales",E7:E15="HR","Fire",E7:E15="Accountant","Give Bouns")</f>
        <v>Give Bouns</v>
      </c>
    </row>
    <row r="8" customFormat="false" ht="12.8" hidden="false" customHeight="false" outlineLevel="0" collapsed="false">
      <c r="A8" s="6" t="s">
        <v>33</v>
      </c>
      <c r="B8" s="6" t="s">
        <v>34</v>
      </c>
      <c r="C8" s="6" t="n">
        <v>35</v>
      </c>
      <c r="D8" s="6" t="s">
        <v>18</v>
      </c>
      <c r="E8" s="6" t="s">
        <v>35</v>
      </c>
      <c r="F8" s="6" t="n">
        <v>21000</v>
      </c>
      <c r="G8" s="7" t="n">
        <v>35038</v>
      </c>
      <c r="H8" s="7" t="s">
        <v>36</v>
      </c>
      <c r="I8" s="1" t="str">
        <f aca="false">IF(C8:C16&gt;=30,"old","Young")</f>
        <v>old</v>
      </c>
      <c r="J8" s="1" t="e">
        <f aca="false">_xlfn.IFS(E8:E16="salesman","sales",E8:E16="HR","Fire",E8:E16="Accountant","Give Bouns")</f>
        <v>#N/A</v>
      </c>
    </row>
    <row r="9" customFormat="false" ht="12.8" hidden="false" customHeight="false" outlineLevel="0" collapsed="false">
      <c r="A9" s="6" t="s">
        <v>38</v>
      </c>
      <c r="B9" s="6" t="s">
        <v>39</v>
      </c>
      <c r="C9" s="6" t="n">
        <v>32</v>
      </c>
      <c r="D9" s="6" t="s">
        <v>13</v>
      </c>
      <c r="E9" s="6" t="s">
        <v>40</v>
      </c>
      <c r="F9" s="6" t="n">
        <v>20000</v>
      </c>
      <c r="G9" s="7" t="s">
        <v>41</v>
      </c>
      <c r="H9" s="7" t="s">
        <v>36</v>
      </c>
      <c r="I9" s="1" t="str">
        <f aca="false">IF(C9:C17&gt;=30,"old","Young")</f>
        <v>old</v>
      </c>
      <c r="J9" s="1" t="e">
        <f aca="false">_xlfn.IFS(E9:E17="salesman","sales",E9:E17="HR","Fire",E9:E17="Accountant","Give Bouns")</f>
        <v>#N/A</v>
      </c>
    </row>
    <row r="10" customFormat="false" ht="12.8" hidden="false" customHeight="false" outlineLevel="0" collapsed="false">
      <c r="A10" s="6" t="s">
        <v>43</v>
      </c>
      <c r="B10" s="6" t="s">
        <v>44</v>
      </c>
      <c r="C10" s="6" t="n">
        <v>38</v>
      </c>
      <c r="D10" s="6" t="s">
        <v>13</v>
      </c>
      <c r="E10" s="6" t="s">
        <v>14</v>
      </c>
      <c r="F10" s="6" t="n">
        <v>48000</v>
      </c>
      <c r="G10" s="7" t="s">
        <v>45</v>
      </c>
      <c r="H10" s="7" t="s">
        <v>46</v>
      </c>
      <c r="I10" s="1" t="str">
        <f aca="false">IF(C10:C18&gt;=30,"old","Young")</f>
        <v>old</v>
      </c>
      <c r="J10" s="1" t="str">
        <f aca="false">_xlfn.IFS(E10:E18="salesman","sales",E10:E18="HR","Fire",E10:E18="Accountant","Give Bouns")</f>
        <v>sales</v>
      </c>
    </row>
    <row r="11" customFormat="false" ht="12.8" hidden="false" customHeight="false" outlineLevel="0" collapsed="false">
      <c r="A11" s="6" t="s">
        <v>48</v>
      </c>
      <c r="B11" s="6" t="s">
        <v>49</v>
      </c>
      <c r="C11" s="6" t="n">
        <v>31</v>
      </c>
      <c r="D11" s="6" t="s">
        <v>18</v>
      </c>
      <c r="E11" s="6" t="s">
        <v>23</v>
      </c>
      <c r="F11" s="6" t="n">
        <v>33000</v>
      </c>
      <c r="G11" s="7" t="s">
        <v>50</v>
      </c>
      <c r="H11" s="7" t="s">
        <v>46</v>
      </c>
      <c r="I11" s="1" t="str">
        <f aca="false">IF(C11:C19&gt;=30,"old","Young")</f>
        <v>old</v>
      </c>
      <c r="J11" s="1" t="str">
        <f aca="false">_xlfn.IFS(E11:E19="salesman","sales",E11:E19="HR","Fire",E11:E19="Accountant","Give Bouns")</f>
        <v>Give Bouns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22" activeCellId="0" sqref="I2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1" t="s">
        <v>56</v>
      </c>
    </row>
    <row r="3" customFormat="false" ht="12.8" hidden="false" customHeight="false" outlineLevel="0" collapsed="false">
      <c r="A3" s="6" t="s">
        <v>11</v>
      </c>
      <c r="B3" s="6" t="s">
        <v>12</v>
      </c>
      <c r="C3" s="6" t="n">
        <v>30</v>
      </c>
      <c r="D3" s="6" t="s">
        <v>13</v>
      </c>
      <c r="E3" s="6" t="s">
        <v>14</v>
      </c>
      <c r="F3" s="6" t="n">
        <v>45000</v>
      </c>
      <c r="G3" s="7" t="n">
        <v>36933</v>
      </c>
      <c r="H3" s="7" t="n">
        <v>42253</v>
      </c>
      <c r="I3" s="2" t="n">
        <f aca="false">LEN(B3:B11)</f>
        <v>2</v>
      </c>
    </row>
    <row r="4" customFormat="false" ht="12.8" hidden="false" customHeight="false" outlineLevel="0" collapsed="false">
      <c r="A4" s="6" t="s">
        <v>16</v>
      </c>
      <c r="B4" s="6" t="s">
        <v>17</v>
      </c>
      <c r="C4" s="6" t="n">
        <v>30</v>
      </c>
      <c r="D4" s="6" t="s">
        <v>18</v>
      </c>
      <c r="E4" s="6" t="s">
        <v>19</v>
      </c>
      <c r="F4" s="6" t="n">
        <v>36000</v>
      </c>
      <c r="G4" s="7" t="n">
        <v>36229</v>
      </c>
      <c r="H4" s="7" t="n">
        <v>42287</v>
      </c>
      <c r="I4" s="2" t="n">
        <f aca="false">LEN(B4:B12)</f>
        <v>2</v>
      </c>
    </row>
    <row r="5" customFormat="false" ht="12.8" hidden="false" customHeight="false" outlineLevel="0" collapsed="false">
      <c r="A5" s="6" t="s">
        <v>21</v>
      </c>
      <c r="B5" s="6" t="s">
        <v>22</v>
      </c>
      <c r="C5" s="6" t="n">
        <v>29</v>
      </c>
      <c r="D5" s="6" t="s">
        <v>18</v>
      </c>
      <c r="E5" s="6" t="s">
        <v>23</v>
      </c>
      <c r="F5" s="6" t="n">
        <v>63000</v>
      </c>
      <c r="G5" s="7" t="n">
        <v>36833</v>
      </c>
      <c r="H5" s="7" t="n">
        <v>43049</v>
      </c>
      <c r="I5" s="2" t="n">
        <f aca="false">LEN(B5:B13)</f>
        <v>2</v>
      </c>
    </row>
    <row r="6" customFormat="false" ht="12.8" hidden="false" customHeight="false" outlineLevel="0" collapsed="false">
      <c r="A6" s="6" t="s">
        <v>25</v>
      </c>
      <c r="B6" s="6" t="s">
        <v>26</v>
      </c>
      <c r="C6" s="6" t="n">
        <v>31</v>
      </c>
      <c r="D6" s="6" t="s">
        <v>13</v>
      </c>
      <c r="E6" s="6" t="s">
        <v>27</v>
      </c>
      <c r="F6" s="6" t="n">
        <v>50000</v>
      </c>
      <c r="G6" s="7" t="n">
        <v>36834</v>
      </c>
      <c r="H6" s="7" t="n">
        <v>42289</v>
      </c>
      <c r="I6" s="2" t="n">
        <f aca="false">LEN(B6:B14)</f>
        <v>2</v>
      </c>
    </row>
    <row r="7" customFormat="false" ht="12.8" hidden="false" customHeight="false" outlineLevel="0" collapsed="false">
      <c r="A7" s="6" t="s">
        <v>29</v>
      </c>
      <c r="B7" s="6" t="s">
        <v>30</v>
      </c>
      <c r="C7" s="6" t="n">
        <v>32</v>
      </c>
      <c r="D7" s="6" t="s">
        <v>13</v>
      </c>
      <c r="E7" s="6" t="s">
        <v>23</v>
      </c>
      <c r="F7" s="6" t="n">
        <v>64000</v>
      </c>
      <c r="G7" s="7" t="n">
        <v>37022</v>
      </c>
      <c r="H7" s="7" t="s">
        <v>31</v>
      </c>
      <c r="I7" s="2" t="n">
        <f aca="false">LEN(B7:B15)</f>
        <v>2</v>
      </c>
    </row>
    <row r="8" customFormat="false" ht="12.8" hidden="false" customHeight="false" outlineLevel="0" collapsed="false">
      <c r="A8" s="6" t="s">
        <v>33</v>
      </c>
      <c r="B8" s="6" t="s">
        <v>34</v>
      </c>
      <c r="C8" s="6" t="n">
        <v>35</v>
      </c>
      <c r="D8" s="6" t="s">
        <v>18</v>
      </c>
      <c r="E8" s="6" t="s">
        <v>35</v>
      </c>
      <c r="F8" s="6" t="n">
        <v>21000</v>
      </c>
      <c r="G8" s="7" t="n">
        <v>35038</v>
      </c>
      <c r="H8" s="7" t="s">
        <v>36</v>
      </c>
      <c r="I8" s="2" t="n">
        <f aca="false">LEN(B8:B16)</f>
        <v>2</v>
      </c>
    </row>
    <row r="9" customFormat="false" ht="12.8" hidden="false" customHeight="false" outlineLevel="0" collapsed="false">
      <c r="A9" s="6" t="s">
        <v>38</v>
      </c>
      <c r="B9" s="6" t="s">
        <v>39</v>
      </c>
      <c r="C9" s="6" t="n">
        <v>32</v>
      </c>
      <c r="D9" s="6" t="s">
        <v>13</v>
      </c>
      <c r="E9" s="6" t="s">
        <v>40</v>
      </c>
      <c r="F9" s="6" t="n">
        <v>20000</v>
      </c>
      <c r="G9" s="7" t="s">
        <v>41</v>
      </c>
      <c r="H9" s="7" t="s">
        <v>36</v>
      </c>
      <c r="I9" s="2" t="n">
        <f aca="false">LEN(B9:B17)</f>
        <v>6</v>
      </c>
    </row>
    <row r="10" customFormat="false" ht="12.8" hidden="false" customHeight="false" outlineLevel="0" collapsed="false">
      <c r="A10" s="6" t="s">
        <v>43</v>
      </c>
      <c r="B10" s="6" t="s">
        <v>44</v>
      </c>
      <c r="C10" s="6" t="n">
        <v>38</v>
      </c>
      <c r="D10" s="6" t="s">
        <v>13</v>
      </c>
      <c r="E10" s="6" t="s">
        <v>14</v>
      </c>
      <c r="F10" s="6" t="n">
        <v>48000</v>
      </c>
      <c r="G10" s="7" t="s">
        <v>45</v>
      </c>
      <c r="H10" s="7" t="s">
        <v>46</v>
      </c>
      <c r="I10" s="2" t="n">
        <f aca="false">LEN(B10:B18)</f>
        <v>6</v>
      </c>
    </row>
    <row r="11" customFormat="false" ht="12.8" hidden="false" customHeight="false" outlineLevel="0" collapsed="false">
      <c r="A11" s="6" t="s">
        <v>48</v>
      </c>
      <c r="B11" s="6" t="s">
        <v>49</v>
      </c>
      <c r="C11" s="6" t="n">
        <v>31</v>
      </c>
      <c r="D11" s="6" t="s">
        <v>18</v>
      </c>
      <c r="E11" s="6" t="s">
        <v>23</v>
      </c>
      <c r="F11" s="6" t="n">
        <v>33000</v>
      </c>
      <c r="G11" s="7" t="s">
        <v>50</v>
      </c>
      <c r="H11" s="7" t="s">
        <v>46</v>
      </c>
      <c r="I11" s="2" t="n">
        <f aca="false">LEN(B11:B19)</f>
        <v>2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cols>
    <col collapsed="false" customWidth="false" hidden="false" outlineLevel="0" max="11" min="10" style="1" width="11.53"/>
    <col collapsed="false" customWidth="false" hidden="false" outlineLevel="0" max="12" min="12" style="5" width="11.53"/>
  </cols>
  <sheetData>
    <row r="2" customFormat="false" ht="12.8" hidden="false" customHeight="false" outlineLevel="0" collapsed="false">
      <c r="A2" s="1" t="s">
        <v>57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1" t="s">
        <v>9</v>
      </c>
      <c r="K2" s="1" t="s">
        <v>10</v>
      </c>
      <c r="L2" s="5" t="s">
        <v>10</v>
      </c>
    </row>
    <row r="3" customFormat="false" ht="12.8" hidden="false" customHeight="false" outlineLevel="0" collapsed="false">
      <c r="A3" s="6" t="n">
        <v>1001</v>
      </c>
      <c r="B3" s="6" t="s">
        <v>11</v>
      </c>
      <c r="C3" s="6" t="s">
        <v>12</v>
      </c>
      <c r="D3" s="6" t="n">
        <v>30</v>
      </c>
      <c r="E3" s="6" t="s">
        <v>13</v>
      </c>
      <c r="F3" s="6" t="s">
        <v>14</v>
      </c>
      <c r="G3" s="6" t="n">
        <v>45000</v>
      </c>
      <c r="H3" s="7" t="s">
        <v>58</v>
      </c>
      <c r="I3" s="7" t="n">
        <v>42253</v>
      </c>
      <c r="J3" s="1" t="str">
        <f aca="false">LEFT(B3:B11,3)</f>
        <v>jim</v>
      </c>
      <c r="K3" s="1" t="str">
        <f aca="false">RIGHT(A3:A11,1)</f>
        <v>1</v>
      </c>
      <c r="L3" s="5" t="str">
        <f aca="false">RIGHT(H3:H11,4)</f>
        <v>2001</v>
      </c>
    </row>
    <row r="4" customFormat="false" ht="12.8" hidden="false" customHeight="false" outlineLevel="0" collapsed="false">
      <c r="A4" s="6" t="n">
        <v>1002</v>
      </c>
      <c r="B4" s="6" t="s">
        <v>16</v>
      </c>
      <c r="C4" s="6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7" t="s">
        <v>59</v>
      </c>
      <c r="I4" s="7" t="n">
        <v>42287</v>
      </c>
      <c r="J4" s="1" t="str">
        <f aca="false">LEFT(B4:B12,3)</f>
        <v>pam</v>
      </c>
      <c r="K4" s="1" t="str">
        <f aca="false">RIGHT(A4:A12,1)</f>
        <v>2</v>
      </c>
      <c r="L4" s="5" t="str">
        <f aca="false">RIGHT(H4:H12,4)</f>
        <v>2003</v>
      </c>
    </row>
    <row r="5" customFormat="false" ht="12.8" hidden="false" customHeight="false" outlineLevel="0" collapsed="false">
      <c r="A5" s="6" t="n">
        <v>1003</v>
      </c>
      <c r="B5" s="6" t="s">
        <v>21</v>
      </c>
      <c r="C5" s="6" t="s">
        <v>22</v>
      </c>
      <c r="D5" s="6" t="n">
        <v>29</v>
      </c>
      <c r="E5" s="6" t="s">
        <v>18</v>
      </c>
      <c r="F5" s="6" t="s">
        <v>23</v>
      </c>
      <c r="G5" s="6" t="n">
        <v>63000</v>
      </c>
      <c r="H5" s="7" t="s">
        <v>60</v>
      </c>
      <c r="I5" s="7" t="n">
        <v>43049</v>
      </c>
      <c r="J5" s="1" t="str">
        <f aca="false">LEFT(B5:B13,3)</f>
        <v>ang</v>
      </c>
      <c r="K5" s="1" t="str">
        <f aca="false">RIGHT(A5:A13,1)</f>
        <v>3</v>
      </c>
      <c r="L5" s="5" t="str">
        <f aca="false">RIGHT(H5:H13,4)</f>
        <v>1999</v>
      </c>
    </row>
    <row r="6" customFormat="false" ht="12.8" hidden="false" customHeight="false" outlineLevel="0" collapsed="false">
      <c r="A6" s="6" t="n">
        <v>1004</v>
      </c>
      <c r="B6" s="6" t="s">
        <v>25</v>
      </c>
      <c r="C6" s="6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7" t="s">
        <v>61</v>
      </c>
      <c r="I6" s="7" t="n">
        <v>42289</v>
      </c>
      <c r="J6" s="1" t="str">
        <f aca="false">LEFT(B6:B14,3)</f>
        <v>Tob</v>
      </c>
      <c r="K6" s="1" t="str">
        <f aca="false">RIGHT(A6:A14,1)</f>
        <v>4</v>
      </c>
      <c r="L6" s="5" t="str">
        <f aca="false">RIGHT(H6:H14,4)</f>
        <v>2000</v>
      </c>
    </row>
    <row r="7" customFormat="false" ht="12.8" hidden="false" customHeight="false" outlineLevel="0" collapsed="false">
      <c r="A7" s="6" t="n">
        <v>1005</v>
      </c>
      <c r="B7" s="6" t="s">
        <v>29</v>
      </c>
      <c r="C7" s="6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7" t="s">
        <v>61</v>
      </c>
      <c r="I7" s="7" t="s">
        <v>31</v>
      </c>
      <c r="J7" s="1" t="str">
        <f aca="false">LEFT(B7:B15,3)</f>
        <v>Mic</v>
      </c>
      <c r="K7" s="1" t="str">
        <f aca="false">RIGHT(A7:A15,1)</f>
        <v>5</v>
      </c>
      <c r="L7" s="5" t="str">
        <f aca="false">RIGHT(H7:H15,4)</f>
        <v>2000</v>
      </c>
    </row>
    <row r="8" customFormat="false" ht="12.8" hidden="false" customHeight="false" outlineLevel="0" collapsed="false">
      <c r="A8" s="6" t="n">
        <v>1006</v>
      </c>
      <c r="B8" s="6" t="s">
        <v>33</v>
      </c>
      <c r="C8" s="6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7" t="s">
        <v>62</v>
      </c>
      <c r="I8" s="7" t="s">
        <v>36</v>
      </c>
      <c r="J8" s="1" t="str">
        <f aca="false">LEFT(B8:B16,3)</f>
        <v>Mer</v>
      </c>
      <c r="K8" s="1" t="str">
        <f aca="false">RIGHT(A8:A16,1)</f>
        <v>6</v>
      </c>
      <c r="L8" s="5" t="str">
        <f aca="false">RIGHT(H8:H16,4)</f>
        <v>1995</v>
      </c>
    </row>
    <row r="9" customFormat="false" ht="12.8" hidden="false" customHeight="false" outlineLevel="0" collapsed="false">
      <c r="A9" s="6" t="n">
        <v>1007</v>
      </c>
      <c r="B9" s="6" t="s">
        <v>38</v>
      </c>
      <c r="C9" s="6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7" t="s">
        <v>41</v>
      </c>
      <c r="I9" s="7" t="s">
        <v>36</v>
      </c>
      <c r="J9" s="1" t="str">
        <f aca="false">LEFT(B9:B17,3)</f>
        <v>sta</v>
      </c>
      <c r="K9" s="1" t="str">
        <f aca="false">RIGHT(A9:A17,1)</f>
        <v>7</v>
      </c>
      <c r="L9" s="5" t="str">
        <f aca="false">RIGHT(H9:H17,4)</f>
        <v>2003</v>
      </c>
    </row>
    <row r="10" customFormat="false" ht="12.8" hidden="false" customHeight="false" outlineLevel="0" collapsed="false">
      <c r="A10" s="6" t="n">
        <v>1008</v>
      </c>
      <c r="B10" s="6" t="s">
        <v>43</v>
      </c>
      <c r="C10" s="6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7" t="s">
        <v>45</v>
      </c>
      <c r="I10" s="7" t="s">
        <v>46</v>
      </c>
      <c r="J10" s="1" t="str">
        <f aca="false">LEFT(B10:B18,3)</f>
        <v>Kev</v>
      </c>
      <c r="K10" s="1" t="str">
        <f aca="false">RIGHT(A10:A18,1)</f>
        <v>8</v>
      </c>
      <c r="L10" s="5" t="str">
        <f aca="false">RIGHT(H10:H18,4)</f>
        <v>2002</v>
      </c>
    </row>
    <row r="11" customFormat="false" ht="12.8" hidden="false" customHeight="false" outlineLevel="0" collapsed="false">
      <c r="A11" s="6" t="n">
        <v>1009</v>
      </c>
      <c r="B11" s="6" t="s">
        <v>48</v>
      </c>
      <c r="C11" s="6" t="s">
        <v>49</v>
      </c>
      <c r="D11" s="6" t="n">
        <v>31</v>
      </c>
      <c r="E11" s="6" t="s">
        <v>18</v>
      </c>
      <c r="F11" s="6" t="s">
        <v>23</v>
      </c>
      <c r="G11" s="6" t="n">
        <v>33000</v>
      </c>
      <c r="H11" s="7" t="s">
        <v>50</v>
      </c>
      <c r="I11" s="7" t="s">
        <v>46</v>
      </c>
      <c r="J11" s="1" t="str">
        <f aca="false">LEFT(B11:B19,3)</f>
        <v>nfa</v>
      </c>
      <c r="K11" s="1" t="str">
        <f aca="false">RIGHT(A11:A19,1)</f>
        <v>9</v>
      </c>
      <c r="L11" s="5" t="str">
        <f aca="false">RIGHT(H11:H19,4)</f>
        <v>2003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14" activeCellId="0" sqref="L14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2" width="17.73"/>
  </cols>
  <sheetData>
    <row r="2" customFormat="false" ht="12.8" hidden="false" customHeight="false" outlineLevel="0" collapsed="false">
      <c r="A2" s="8" t="s">
        <v>57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10" t="s">
        <v>6</v>
      </c>
      <c r="I2" s="10" t="s">
        <v>7</v>
      </c>
      <c r="J2" s="8" t="s">
        <v>63</v>
      </c>
      <c r="K2" s="9" t="s">
        <v>64</v>
      </c>
      <c r="L2" s="5"/>
    </row>
    <row r="3" customFormat="false" ht="12.8" hidden="false" customHeight="false" outlineLevel="0" collapsed="false">
      <c r="A3" s="6" t="n">
        <v>1001</v>
      </c>
      <c r="B3" s="6" t="s">
        <v>11</v>
      </c>
      <c r="C3" s="6" t="s">
        <v>12</v>
      </c>
      <c r="D3" s="6" t="n">
        <v>30</v>
      </c>
      <c r="E3" s="6" t="s">
        <v>13</v>
      </c>
      <c r="F3" s="6" t="s">
        <v>14</v>
      </c>
      <c r="G3" s="6" t="n">
        <v>45000</v>
      </c>
      <c r="H3" s="7" t="s">
        <v>58</v>
      </c>
      <c r="I3" s="7" t="n">
        <v>42164</v>
      </c>
      <c r="J3" s="5" t="str">
        <f aca="false">TEXT(H3:H11,"dd/mm/yyy")</f>
        <v>23/06/01y</v>
      </c>
      <c r="K3" s="5" t="str">
        <f aca="false">RIGHT(H3:H11,4)</f>
        <v>2001</v>
      </c>
    </row>
    <row r="4" customFormat="false" ht="12.8" hidden="false" customHeight="false" outlineLevel="0" collapsed="false">
      <c r="A4" s="6" t="n">
        <v>1002</v>
      </c>
      <c r="B4" s="6" t="s">
        <v>16</v>
      </c>
      <c r="C4" s="6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7" t="s">
        <v>59</v>
      </c>
      <c r="I4" s="7" t="n">
        <v>42318</v>
      </c>
      <c r="J4" s="5" t="str">
        <f aca="false">TEXT(H4:H12,"dd/mm/yyy")</f>
        <v>25/06/03y</v>
      </c>
      <c r="K4" s="5" t="str">
        <f aca="false">RIGHT(H4:H12,4)</f>
        <v>2003</v>
      </c>
    </row>
    <row r="5" customFormat="false" ht="12.8" hidden="false" customHeight="false" outlineLevel="0" collapsed="false">
      <c r="A5" s="6" t="n">
        <v>1003</v>
      </c>
      <c r="B5" s="6" t="s">
        <v>21</v>
      </c>
      <c r="C5" s="6" t="s">
        <v>22</v>
      </c>
      <c r="D5" s="6" t="n">
        <v>29</v>
      </c>
      <c r="E5" s="6" t="s">
        <v>18</v>
      </c>
      <c r="F5" s="6" t="s">
        <v>23</v>
      </c>
      <c r="G5" s="6" t="n">
        <v>63000</v>
      </c>
      <c r="H5" s="7" t="s">
        <v>60</v>
      </c>
      <c r="I5" s="7" t="n">
        <v>43049</v>
      </c>
      <c r="J5" s="5" t="str">
        <f aca="false">TEXT(H5:H13,"dd/mm/yyy")</f>
        <v>21/06/99y</v>
      </c>
      <c r="K5" s="5" t="str">
        <f aca="false">RIGHT(H5:H13,4)</f>
        <v>1999</v>
      </c>
    </row>
    <row r="6" customFormat="false" ht="12.8" hidden="false" customHeight="false" outlineLevel="0" collapsed="false">
      <c r="A6" s="6" t="n">
        <v>1004</v>
      </c>
      <c r="B6" s="6" t="s">
        <v>25</v>
      </c>
      <c r="C6" s="6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7" t="s">
        <v>61</v>
      </c>
      <c r="I6" s="7" t="n">
        <v>42289</v>
      </c>
      <c r="J6" s="5" t="str">
        <f aca="false">TEXT(H6:H14,"dd/mm/yyy")</f>
        <v>22/06/00y</v>
      </c>
      <c r="K6" s="5" t="str">
        <f aca="false">RIGHT(H6:H14,4)</f>
        <v>2000</v>
      </c>
    </row>
    <row r="7" customFormat="false" ht="12.8" hidden="false" customHeight="false" outlineLevel="0" collapsed="false">
      <c r="A7" s="6" t="n">
        <v>1005</v>
      </c>
      <c r="B7" s="6" t="s">
        <v>29</v>
      </c>
      <c r="C7" s="6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7" t="s">
        <v>61</v>
      </c>
      <c r="I7" s="7" t="s">
        <v>31</v>
      </c>
      <c r="J7" s="5" t="str">
        <f aca="false">TEXT(H7:H15,"dd/mm/yyy")</f>
        <v>22/06/00y</v>
      </c>
      <c r="K7" s="5" t="str">
        <f aca="false">RIGHT(H7:H15,4)</f>
        <v>2000</v>
      </c>
    </row>
    <row r="8" customFormat="false" ht="12.8" hidden="false" customHeight="false" outlineLevel="0" collapsed="false">
      <c r="A8" s="6" t="n">
        <v>1006</v>
      </c>
      <c r="B8" s="6" t="s">
        <v>33</v>
      </c>
      <c r="C8" s="6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7" t="s">
        <v>62</v>
      </c>
      <c r="I8" s="7" t="s">
        <v>36</v>
      </c>
      <c r="J8" s="5" t="str">
        <f aca="false">TEXT(H8:H16,"dd/mm/yyy")</f>
        <v>13/05/95y</v>
      </c>
      <c r="K8" s="5" t="str">
        <f aca="false">RIGHT(H8:H16,4)</f>
        <v>1995</v>
      </c>
    </row>
    <row r="9" customFormat="false" ht="12.8" hidden="false" customHeight="false" outlineLevel="0" collapsed="false">
      <c r="A9" s="6" t="n">
        <v>1007</v>
      </c>
      <c r="B9" s="6" t="s">
        <v>38</v>
      </c>
      <c r="C9" s="6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7" t="s">
        <v>41</v>
      </c>
      <c r="I9" s="7" t="s">
        <v>36</v>
      </c>
      <c r="J9" s="5" t="str">
        <f aca="false">TEXT(H9:H17,"dd/mm/yyy")</f>
        <v>13/05/03y</v>
      </c>
      <c r="K9" s="5" t="str">
        <f aca="false">RIGHT(H9:H17,4)</f>
        <v>2003</v>
      </c>
    </row>
    <row r="10" customFormat="false" ht="12.8" hidden="false" customHeight="false" outlineLevel="0" collapsed="false">
      <c r="A10" s="6" t="n">
        <v>1008</v>
      </c>
      <c r="B10" s="6" t="s">
        <v>43</v>
      </c>
      <c r="C10" s="6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7" t="s">
        <v>45</v>
      </c>
      <c r="I10" s="7" t="s">
        <v>46</v>
      </c>
      <c r="J10" s="5" t="str">
        <f aca="false">TEXT(H10:H18,"dd/mm/yyy")</f>
        <v>14/05/02y</v>
      </c>
      <c r="K10" s="5" t="str">
        <f aca="false">RIGHT(H10:H18,4)</f>
        <v>2002</v>
      </c>
    </row>
    <row r="11" customFormat="false" ht="12.8" hidden="false" customHeight="false" outlineLevel="0" collapsed="false">
      <c r="A11" s="6" t="n">
        <v>1009</v>
      </c>
      <c r="B11" s="6" t="s">
        <v>48</v>
      </c>
      <c r="C11" s="6" t="s">
        <v>49</v>
      </c>
      <c r="D11" s="6" t="n">
        <v>31</v>
      </c>
      <c r="E11" s="6" t="s">
        <v>18</v>
      </c>
      <c r="F11" s="6" t="s">
        <v>23</v>
      </c>
      <c r="G11" s="6" t="n">
        <v>33000</v>
      </c>
      <c r="H11" s="7" t="s">
        <v>50</v>
      </c>
      <c r="I11" s="7" t="s">
        <v>46</v>
      </c>
      <c r="J11" s="5" t="str">
        <f aca="false">TEXT(H11:H19,"dd/mm/yyy")</f>
        <v>15/05/03y</v>
      </c>
      <c r="K11" s="5" t="str">
        <f aca="false">RIGHT(H11:H19,4)</f>
        <v>2003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cols>
    <col collapsed="false" customWidth="false" hidden="false" outlineLevel="0" max="3" min="3" style="11" width="11.53"/>
  </cols>
  <sheetData>
    <row r="2" customFormat="false" ht="12.8" hidden="false" customHeight="false" outlineLevel="0" collapsed="false">
      <c r="A2" s="1" t="s">
        <v>57</v>
      </c>
      <c r="B2" s="2" t="s">
        <v>0</v>
      </c>
      <c r="C2" s="1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9" t="s">
        <v>65</v>
      </c>
    </row>
    <row r="3" customFormat="false" ht="12.8" hidden="false" customHeight="false" outlineLevel="0" collapsed="false">
      <c r="A3" s="6" t="n">
        <v>1001</v>
      </c>
      <c r="B3" s="13" t="s">
        <v>11</v>
      </c>
      <c r="C3" s="13" t="s">
        <v>66</v>
      </c>
      <c r="D3" s="6" t="n">
        <v>30</v>
      </c>
      <c r="E3" s="6" t="s">
        <v>13</v>
      </c>
      <c r="F3" s="6" t="s">
        <v>14</v>
      </c>
      <c r="G3" s="6" t="n">
        <v>45000</v>
      </c>
      <c r="H3" s="7" t="s">
        <v>58</v>
      </c>
      <c r="I3" s="7" t="n">
        <v>42253</v>
      </c>
      <c r="J3" s="2" t="str">
        <f aca="false">TRIM(C3:C11)</f>
        <v>HA</v>
      </c>
    </row>
    <row r="4" customFormat="false" ht="12.8" hidden="false" customHeight="false" outlineLevel="0" collapsed="false">
      <c r="A4" s="6" t="n">
        <v>1002</v>
      </c>
      <c r="B4" s="13" t="s">
        <v>16</v>
      </c>
      <c r="C4" s="13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7" t="s">
        <v>59</v>
      </c>
      <c r="I4" s="7" t="n">
        <v>42287</v>
      </c>
      <c r="J4" s="2" t="str">
        <f aca="false">TRIM(C4:C12)</f>
        <v>SC</v>
      </c>
    </row>
    <row r="5" customFormat="false" ht="12.8" hidden="false" customHeight="false" outlineLevel="0" collapsed="false">
      <c r="A5" s="6" t="n">
        <v>1003</v>
      </c>
      <c r="B5" s="13" t="s">
        <v>21</v>
      </c>
      <c r="C5" s="13" t="s">
        <v>67</v>
      </c>
      <c r="D5" s="6" t="n">
        <v>29</v>
      </c>
      <c r="E5" s="6" t="s">
        <v>18</v>
      </c>
      <c r="F5" s="6" t="s">
        <v>23</v>
      </c>
      <c r="G5" s="6" t="n">
        <v>63000</v>
      </c>
      <c r="H5" s="7" t="s">
        <v>60</v>
      </c>
      <c r="I5" s="7" t="n">
        <v>43049</v>
      </c>
      <c r="J5" s="2" t="str">
        <f aca="false">TRIM(C5:C13)</f>
        <v>MA</v>
      </c>
    </row>
    <row r="6" customFormat="false" ht="12.8" hidden="false" customHeight="false" outlineLevel="0" collapsed="false">
      <c r="A6" s="6" t="n">
        <v>1004</v>
      </c>
      <c r="B6" s="13" t="s">
        <v>25</v>
      </c>
      <c r="C6" s="13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7" t="s">
        <v>61</v>
      </c>
      <c r="I6" s="7" t="n">
        <v>42289</v>
      </c>
      <c r="J6" s="2" t="str">
        <f aca="false">TRIM(C6:C14)</f>
        <v>Fl</v>
      </c>
    </row>
    <row r="7" customFormat="false" ht="12.8" hidden="false" customHeight="false" outlineLevel="0" collapsed="false">
      <c r="A7" s="6" t="n">
        <v>1005</v>
      </c>
      <c r="B7" s="13" t="s">
        <v>29</v>
      </c>
      <c r="C7" s="13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7" t="s">
        <v>61</v>
      </c>
      <c r="I7" s="7" t="s">
        <v>31</v>
      </c>
      <c r="J7" s="2" t="str">
        <f aca="false">TRIM(C7:C15)</f>
        <v>Sc</v>
      </c>
    </row>
    <row r="8" customFormat="false" ht="12.8" hidden="false" customHeight="false" outlineLevel="0" collapsed="false">
      <c r="A8" s="6" t="n">
        <v>1006</v>
      </c>
      <c r="B8" s="13" t="s">
        <v>33</v>
      </c>
      <c r="C8" s="13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7" t="s">
        <v>62</v>
      </c>
      <c r="I8" s="7" t="s">
        <v>36</v>
      </c>
      <c r="J8" s="2" t="str">
        <f aca="false">TRIM(C8:C16)</f>
        <v>Pl</v>
      </c>
    </row>
    <row r="9" customFormat="false" ht="12.8" hidden="false" customHeight="false" outlineLevel="0" collapsed="false">
      <c r="A9" s="6" t="n">
        <v>1007</v>
      </c>
      <c r="B9" s="13" t="s">
        <v>38</v>
      </c>
      <c r="C9" s="13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7" t="s">
        <v>41</v>
      </c>
      <c r="I9" s="7" t="s">
        <v>36</v>
      </c>
      <c r="J9" s="2" t="str">
        <f aca="false">TRIM(C9:C17)</f>
        <v>Hudson</v>
      </c>
    </row>
    <row r="10" customFormat="false" ht="12.8" hidden="false" customHeight="false" outlineLevel="0" collapsed="false">
      <c r="A10" s="6" t="n">
        <v>1008</v>
      </c>
      <c r="B10" s="13" t="s">
        <v>43</v>
      </c>
      <c r="C10" s="13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7" t="s">
        <v>45</v>
      </c>
      <c r="I10" s="7" t="s">
        <v>46</v>
      </c>
      <c r="J10" s="2" t="str">
        <f aca="false">TRIM(C10:C18)</f>
        <v>Malone</v>
      </c>
    </row>
    <row r="11" customFormat="false" ht="12.8" hidden="false" customHeight="false" outlineLevel="0" collapsed="false">
      <c r="A11" s="6" t="n">
        <v>1009</v>
      </c>
      <c r="B11" s="13" t="s">
        <v>48</v>
      </c>
      <c r="C11" s="13" t="s">
        <v>68</v>
      </c>
      <c r="D11" s="6" t="n">
        <v>31</v>
      </c>
      <c r="E11" s="6" t="s">
        <v>18</v>
      </c>
      <c r="F11" s="6" t="s">
        <v>23</v>
      </c>
      <c r="G11" s="6" t="n">
        <v>33000</v>
      </c>
      <c r="H11" s="7" t="s">
        <v>50</v>
      </c>
      <c r="I11" s="7" t="s">
        <v>46</v>
      </c>
      <c r="J11" s="2" t="str">
        <f aca="false">TRIM(C11:C19)</f>
        <v>ad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2" width="28.63"/>
  </cols>
  <sheetData>
    <row r="2" customFormat="false" ht="12.8" hidden="false" customHeight="false" outlineLevel="0" collapsed="false">
      <c r="A2" s="0" t="s">
        <v>57</v>
      </c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69</v>
      </c>
    </row>
    <row r="3" customFormat="false" ht="12.8" hidden="false" customHeight="false" outlineLevel="0" collapsed="false">
      <c r="A3" s="0" t="n">
        <v>1001</v>
      </c>
      <c r="B3" s="0" t="s">
        <v>11</v>
      </c>
      <c r="C3" s="0" t="s">
        <v>12</v>
      </c>
      <c r="D3" s="0" t="n">
        <v>30</v>
      </c>
      <c r="E3" s="0" t="s">
        <v>13</v>
      </c>
      <c r="F3" s="0" t="s">
        <v>14</v>
      </c>
      <c r="G3" s="0" t="n">
        <v>45000</v>
      </c>
      <c r="H3" s="0" t="s">
        <v>58</v>
      </c>
      <c r="I3" s="0" t="n">
        <v>42253</v>
      </c>
      <c r="J3" s="0" t="str">
        <f aca="false">CONCATENATE(B3,".",C3,"@Gmail.com")</f>
        <v>jim.HA@Gmail.com</v>
      </c>
    </row>
    <row r="4" customFormat="false" ht="12.8" hidden="false" customHeight="false" outlineLevel="0" collapsed="false">
      <c r="A4" s="0" t="n">
        <v>1002</v>
      </c>
      <c r="B4" s="0" t="s">
        <v>16</v>
      </c>
      <c r="C4" s="0" t="s">
        <v>17</v>
      </c>
      <c r="D4" s="0" t="n">
        <v>30</v>
      </c>
      <c r="E4" s="0" t="s">
        <v>18</v>
      </c>
      <c r="F4" s="0" t="s">
        <v>19</v>
      </c>
      <c r="G4" s="0" t="n">
        <v>36000</v>
      </c>
      <c r="H4" s="0" t="s">
        <v>59</v>
      </c>
      <c r="I4" s="0" t="n">
        <v>42287</v>
      </c>
      <c r="J4" s="0" t="str">
        <f aca="false">CONCATENATE(B4,".",C4,"@Gmail.com")</f>
        <v>pam.SC@Gmail.com</v>
      </c>
    </row>
    <row r="5" customFormat="false" ht="12.8" hidden="false" customHeight="false" outlineLevel="0" collapsed="false">
      <c r="A5" s="0" t="n">
        <v>1003</v>
      </c>
      <c r="B5" s="0" t="s">
        <v>21</v>
      </c>
      <c r="C5" s="0" t="s">
        <v>22</v>
      </c>
      <c r="D5" s="0" t="n">
        <v>29</v>
      </c>
      <c r="E5" s="0" t="s">
        <v>18</v>
      </c>
      <c r="F5" s="0" t="s">
        <v>23</v>
      </c>
      <c r="G5" s="0" t="n">
        <v>63000</v>
      </c>
      <c r="H5" s="0" t="s">
        <v>60</v>
      </c>
      <c r="I5" s="0" t="n">
        <v>43049</v>
      </c>
      <c r="J5" s="0" t="str">
        <f aca="false">CONCATENATE(B5,".",C5,"@Gmail.com")</f>
        <v>angela.MA@Gmail.com</v>
      </c>
    </row>
    <row r="6" customFormat="false" ht="12.8" hidden="false" customHeight="false" outlineLevel="0" collapsed="false">
      <c r="A6" s="0" t="n">
        <v>1004</v>
      </c>
      <c r="B6" s="0" t="s">
        <v>25</v>
      </c>
      <c r="C6" s="0" t="s">
        <v>26</v>
      </c>
      <c r="D6" s="0" t="n">
        <v>31</v>
      </c>
      <c r="E6" s="0" t="s">
        <v>13</v>
      </c>
      <c r="F6" s="0" t="s">
        <v>27</v>
      </c>
      <c r="G6" s="0" t="n">
        <v>50000</v>
      </c>
      <c r="H6" s="0" t="s">
        <v>61</v>
      </c>
      <c r="I6" s="0" t="n">
        <v>42289</v>
      </c>
      <c r="J6" s="0" t="str">
        <f aca="false">CONCATENATE(B6,".",C6,"@Gmail.com")</f>
        <v>Toby.Fl@Gmail.com</v>
      </c>
    </row>
    <row r="7" customFormat="false" ht="12.8" hidden="false" customHeight="false" outlineLevel="0" collapsed="false">
      <c r="A7" s="0" t="n">
        <v>1005</v>
      </c>
      <c r="B7" s="0" t="s">
        <v>29</v>
      </c>
      <c r="C7" s="0" t="s">
        <v>30</v>
      </c>
      <c r="D7" s="0" t="n">
        <v>32</v>
      </c>
      <c r="E7" s="0" t="s">
        <v>13</v>
      </c>
      <c r="F7" s="0" t="s">
        <v>23</v>
      </c>
      <c r="G7" s="0" t="n">
        <v>64000</v>
      </c>
      <c r="H7" s="0" t="s">
        <v>61</v>
      </c>
      <c r="I7" s="0" t="s">
        <v>31</v>
      </c>
      <c r="J7" s="0" t="str">
        <f aca="false">CONCATENATE(B7,".",C7,"@Gmail.com")</f>
        <v>Michael.Sc@Gmail.com</v>
      </c>
    </row>
    <row r="8" customFormat="false" ht="12.8" hidden="false" customHeight="false" outlineLevel="0" collapsed="false">
      <c r="A8" s="0" t="n">
        <v>1006</v>
      </c>
      <c r="B8" s="0" t="s">
        <v>33</v>
      </c>
      <c r="C8" s="0" t="s">
        <v>34</v>
      </c>
      <c r="D8" s="0" t="n">
        <v>35</v>
      </c>
      <c r="E8" s="0" t="s">
        <v>18</v>
      </c>
      <c r="F8" s="0" t="s">
        <v>35</v>
      </c>
      <c r="G8" s="0" t="n">
        <v>21000</v>
      </c>
      <c r="H8" s="0" t="s">
        <v>62</v>
      </c>
      <c r="I8" s="0" t="s">
        <v>36</v>
      </c>
      <c r="J8" s="0" t="str">
        <f aca="false">CONCATENATE(B8,".",C8,"@Gmail.com")</f>
        <v>Meredith.Pl@Gmail.com</v>
      </c>
    </row>
    <row r="9" customFormat="false" ht="12.8" hidden="false" customHeight="false" outlineLevel="0" collapsed="false">
      <c r="A9" s="0" t="n">
        <v>1007</v>
      </c>
      <c r="B9" s="0" t="s">
        <v>38</v>
      </c>
      <c r="C9" s="0" t="s">
        <v>39</v>
      </c>
      <c r="D9" s="0" t="n">
        <v>32</v>
      </c>
      <c r="E9" s="0" t="s">
        <v>13</v>
      </c>
      <c r="F9" s="0" t="s">
        <v>40</v>
      </c>
      <c r="G9" s="0" t="n">
        <v>20000</v>
      </c>
      <c r="H9" s="0" t="s">
        <v>41</v>
      </c>
      <c r="I9" s="0" t="s">
        <v>36</v>
      </c>
      <c r="J9" s="0" t="str">
        <f aca="false">CONCATENATE(B9,".",C9,"@Gmail.com")</f>
        <v>stanley.Hudson@Gmail.com</v>
      </c>
    </row>
    <row r="10" customFormat="false" ht="12.8" hidden="false" customHeight="false" outlineLevel="0" collapsed="false">
      <c r="A10" s="0" t="n">
        <v>1008</v>
      </c>
      <c r="B10" s="0" t="s">
        <v>43</v>
      </c>
      <c r="C10" s="0" t="s">
        <v>44</v>
      </c>
      <c r="D10" s="0" t="n">
        <v>38</v>
      </c>
      <c r="E10" s="0" t="s">
        <v>13</v>
      </c>
      <c r="F10" s="0" t="s">
        <v>14</v>
      </c>
      <c r="G10" s="0" t="n">
        <v>48000</v>
      </c>
      <c r="H10" s="0" t="s">
        <v>45</v>
      </c>
      <c r="I10" s="0" t="s">
        <v>46</v>
      </c>
      <c r="J10" s="0" t="str">
        <f aca="false">CONCATENATE(B10,".",C10,"@Gmail.com")</f>
        <v>Kevin.Malone@Gmail.com</v>
      </c>
    </row>
    <row r="11" customFormat="false" ht="12.8" hidden="false" customHeight="false" outlineLevel="0" collapsed="false">
      <c r="A11" s="0" t="n">
        <v>1009</v>
      </c>
      <c r="B11" s="0" t="s">
        <v>48</v>
      </c>
      <c r="C11" s="0" t="s">
        <v>49</v>
      </c>
      <c r="D11" s="0" t="n">
        <v>31</v>
      </c>
      <c r="E11" s="0" t="s">
        <v>18</v>
      </c>
      <c r="F11" s="0" t="s">
        <v>23</v>
      </c>
      <c r="G11" s="0" t="n">
        <v>33000</v>
      </c>
      <c r="H11" s="0" t="s">
        <v>50</v>
      </c>
      <c r="I11" s="0" t="s">
        <v>46</v>
      </c>
      <c r="J11" s="0" t="str">
        <f aca="false">CONCATENATE(B11,".",C11,"@Gmail.com")</f>
        <v>nfas.ad@Gmail.com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G1" colorId="64" zoomScale="120" zoomScaleNormal="12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J1" s="2" t="s">
        <v>70</v>
      </c>
      <c r="K1" s="2" t="s">
        <v>71</v>
      </c>
      <c r="L1" s="2" t="s">
        <v>72</v>
      </c>
    </row>
    <row r="2" customFormat="false" ht="12.8" hidden="false" customHeight="false" outlineLevel="0" collapsed="false">
      <c r="A2" s="2" t="s">
        <v>57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2" t="s">
        <v>73</v>
      </c>
      <c r="K2" s="2" t="s">
        <v>73</v>
      </c>
      <c r="L2" s="2" t="s">
        <v>73</v>
      </c>
    </row>
    <row r="3" customFormat="false" ht="12.8" hidden="false" customHeight="false" outlineLevel="0" collapsed="false">
      <c r="A3" s="6" t="n">
        <v>1001</v>
      </c>
      <c r="B3" s="6" t="s">
        <v>11</v>
      </c>
      <c r="C3" s="6" t="s">
        <v>12</v>
      </c>
      <c r="D3" s="6" t="n">
        <v>30</v>
      </c>
      <c r="E3" s="6" t="s">
        <v>13</v>
      </c>
      <c r="F3" s="6" t="s">
        <v>14</v>
      </c>
      <c r="G3" s="6" t="n">
        <v>45000</v>
      </c>
      <c r="H3" s="7" t="s">
        <v>58</v>
      </c>
      <c r="I3" s="7" t="n">
        <v>42253</v>
      </c>
      <c r="J3" s="2" t="str">
        <f aca="false">SUBSTITUTE(H3:H11,"-","/","1")</f>
        <v>06/23/2001</v>
      </c>
      <c r="K3" s="2" t="str">
        <f aca="false">SUBSTITUTE(H3:H11,"-","/","2")</f>
        <v>06/23/2001</v>
      </c>
      <c r="L3" s="2" t="str">
        <f aca="false">SUBSTITUTE(H3:H11,"-","/")</f>
        <v>06/23/2001</v>
      </c>
    </row>
    <row r="4" customFormat="false" ht="12.8" hidden="false" customHeight="false" outlineLevel="0" collapsed="false">
      <c r="A4" s="6" t="n">
        <v>1002</v>
      </c>
      <c r="B4" s="6" t="s">
        <v>16</v>
      </c>
      <c r="C4" s="6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7" t="s">
        <v>59</v>
      </c>
      <c r="I4" s="7" t="n">
        <v>42287</v>
      </c>
      <c r="J4" s="2" t="str">
        <f aca="false">SUBSTITUTE(H4:H12,"-","/","1")</f>
        <v>06/25/2003</v>
      </c>
      <c r="K4" s="2" t="str">
        <f aca="false">SUBSTITUTE(H4:H12,"-","/","2")</f>
        <v>06/25/2003</v>
      </c>
      <c r="L4" s="2" t="str">
        <f aca="false">SUBSTITUTE(H4:H12,"-","/")</f>
        <v>06/25/2003</v>
      </c>
    </row>
    <row r="5" customFormat="false" ht="12.8" hidden="false" customHeight="false" outlineLevel="0" collapsed="false">
      <c r="A5" s="6" t="n">
        <v>1003</v>
      </c>
      <c r="B5" s="6" t="s">
        <v>21</v>
      </c>
      <c r="C5" s="6" t="s">
        <v>22</v>
      </c>
      <c r="D5" s="6" t="n">
        <v>29</v>
      </c>
      <c r="E5" s="6" t="s">
        <v>18</v>
      </c>
      <c r="F5" s="6" t="s">
        <v>23</v>
      </c>
      <c r="G5" s="6" t="n">
        <v>63000</v>
      </c>
      <c r="H5" s="7" t="s">
        <v>60</v>
      </c>
      <c r="I5" s="7" t="n">
        <v>43049</v>
      </c>
      <c r="J5" s="2" t="str">
        <f aca="false">SUBSTITUTE(H5:H13,"-","/","1")</f>
        <v>06/21/1999</v>
      </c>
      <c r="K5" s="2" t="str">
        <f aca="false">SUBSTITUTE(H5:H13,"-","/","2")</f>
        <v>06/21/1999</v>
      </c>
      <c r="L5" s="2" t="str">
        <f aca="false">SUBSTITUTE(H5:H13,"-","/")</f>
        <v>06/21/1999</v>
      </c>
    </row>
    <row r="6" customFormat="false" ht="12.8" hidden="false" customHeight="false" outlineLevel="0" collapsed="false">
      <c r="A6" s="6" t="n">
        <v>1004</v>
      </c>
      <c r="B6" s="6" t="s">
        <v>25</v>
      </c>
      <c r="C6" s="6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7" t="s">
        <v>74</v>
      </c>
      <c r="I6" s="7" t="n">
        <v>42289</v>
      </c>
      <c r="J6" s="2" t="str">
        <f aca="false">SUBSTITUTE(H6:H14,"-","/","1")</f>
        <v>06/22-2000</v>
      </c>
      <c r="K6" s="2" t="str">
        <f aca="false">SUBSTITUTE(H6:H14,"-","/","2")</f>
        <v>06-22/2000</v>
      </c>
      <c r="L6" s="2" t="str">
        <f aca="false">SUBSTITUTE(H6:H14,"-","/")</f>
        <v>06/22/2000</v>
      </c>
    </row>
    <row r="7" customFormat="false" ht="12.8" hidden="false" customHeight="false" outlineLevel="0" collapsed="false">
      <c r="A7" s="6" t="n">
        <v>1005</v>
      </c>
      <c r="B7" s="6" t="s">
        <v>29</v>
      </c>
      <c r="C7" s="6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7" t="s">
        <v>61</v>
      </c>
      <c r="I7" s="7" t="s">
        <v>31</v>
      </c>
      <c r="J7" s="2" t="str">
        <f aca="false">SUBSTITUTE(H7:H15,"-","/","1")</f>
        <v>06/22/2000</v>
      </c>
      <c r="K7" s="2" t="str">
        <f aca="false">SUBSTITUTE(H7:H15,"-","/","2")</f>
        <v>06/22/2000</v>
      </c>
      <c r="L7" s="2" t="str">
        <f aca="false">SUBSTITUTE(H7:H15,"-","/")</f>
        <v>06/22/2000</v>
      </c>
    </row>
    <row r="8" customFormat="false" ht="12.8" hidden="false" customHeight="false" outlineLevel="0" collapsed="false">
      <c r="A8" s="6" t="n">
        <v>1006</v>
      </c>
      <c r="B8" s="6" t="s">
        <v>33</v>
      </c>
      <c r="C8" s="6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7" t="s">
        <v>62</v>
      </c>
      <c r="I8" s="7" t="s">
        <v>36</v>
      </c>
      <c r="J8" s="2" t="str">
        <f aca="false">SUBSTITUTE(H8:H16,"-","/","1")</f>
        <v>05/13/1995</v>
      </c>
      <c r="K8" s="2" t="str">
        <f aca="false">SUBSTITUTE(H8:H16,"-","/","2")</f>
        <v>05/13/1995</v>
      </c>
      <c r="L8" s="2" t="str">
        <f aca="false">SUBSTITUTE(H8:H16,"-","/")</f>
        <v>05/13/1995</v>
      </c>
    </row>
    <row r="9" customFormat="false" ht="12.8" hidden="false" customHeight="false" outlineLevel="0" collapsed="false">
      <c r="A9" s="6" t="n">
        <v>1007</v>
      </c>
      <c r="B9" s="6" t="s">
        <v>38</v>
      </c>
      <c r="C9" s="6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7" t="s">
        <v>75</v>
      </c>
      <c r="I9" s="7" t="s">
        <v>36</v>
      </c>
      <c r="J9" s="2" t="str">
        <f aca="false">SUBSTITUTE(H9:H17,"-","/","1")</f>
        <v>05/13-2003</v>
      </c>
      <c r="K9" s="2" t="str">
        <f aca="false">SUBSTITUTE(H9:H17,"-","/","2")</f>
        <v>05-13/2003</v>
      </c>
      <c r="L9" s="2" t="str">
        <f aca="false">SUBSTITUTE(H9:H17,"-","/")</f>
        <v>05/13/2003</v>
      </c>
    </row>
    <row r="10" customFormat="false" ht="12.8" hidden="false" customHeight="false" outlineLevel="0" collapsed="false">
      <c r="A10" s="6" t="n">
        <v>1008</v>
      </c>
      <c r="B10" s="6" t="s">
        <v>43</v>
      </c>
      <c r="C10" s="6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7" t="s">
        <v>45</v>
      </c>
      <c r="I10" s="7" t="s">
        <v>46</v>
      </c>
      <c r="J10" s="2" t="str">
        <f aca="false">SUBSTITUTE(H10:H18,"-","/","1")</f>
        <v>05/14/2002</v>
      </c>
      <c r="K10" s="2" t="str">
        <f aca="false">SUBSTITUTE(H10:H18,"-","/","2")</f>
        <v>05/14/2002</v>
      </c>
      <c r="L10" s="2" t="str">
        <f aca="false">SUBSTITUTE(H10:H18,"-","/")</f>
        <v>05/14/2002</v>
      </c>
    </row>
    <row r="11" customFormat="false" ht="12.8" hidden="false" customHeight="false" outlineLevel="0" collapsed="false">
      <c r="A11" s="6" t="n">
        <v>1009</v>
      </c>
      <c r="B11" s="6" t="s">
        <v>48</v>
      </c>
      <c r="C11" s="6" t="s">
        <v>49</v>
      </c>
      <c r="D11" s="6" t="n">
        <v>31</v>
      </c>
      <c r="E11" s="6" t="s">
        <v>18</v>
      </c>
      <c r="F11" s="6" t="s">
        <v>23</v>
      </c>
      <c r="G11" s="6" t="n">
        <v>33000</v>
      </c>
      <c r="H11" s="7" t="s">
        <v>50</v>
      </c>
      <c r="I11" s="7" t="s">
        <v>46</v>
      </c>
      <c r="J11" s="2" t="str">
        <f aca="false">SUBSTITUTE(H11:H19,"-","/","1")</f>
        <v>05/15/2003</v>
      </c>
      <c r="K11" s="2" t="str">
        <f aca="false">SUBSTITUTE(H11:H19,"-","/","2")</f>
        <v>05/15/2003</v>
      </c>
      <c r="L11" s="2" t="str">
        <f aca="false">SUBSTITUTE(H11:H19,"-","/")</f>
        <v>05/15/2003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I3" activeCellId="0" sqref="I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57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2" t="s">
        <v>76</v>
      </c>
      <c r="K2" s="2" t="s">
        <v>77</v>
      </c>
      <c r="L2" s="2" t="s">
        <v>78</v>
      </c>
    </row>
    <row r="3" customFormat="false" ht="12.8" hidden="false" customHeight="false" outlineLevel="0" collapsed="false">
      <c r="A3" s="6" t="n">
        <v>1001</v>
      </c>
      <c r="B3" s="6" t="s">
        <v>11</v>
      </c>
      <c r="C3" s="6" t="s">
        <v>12</v>
      </c>
      <c r="D3" s="6" t="n">
        <v>30</v>
      </c>
      <c r="E3" s="6" t="s">
        <v>13</v>
      </c>
      <c r="F3" s="6" t="s">
        <v>14</v>
      </c>
      <c r="G3" s="6" t="n">
        <v>45000</v>
      </c>
      <c r="H3" s="7" t="s">
        <v>58</v>
      </c>
      <c r="I3" s="7" t="n">
        <v>42253</v>
      </c>
      <c r="J3" s="2" t="n">
        <f aca="false">SUM(G3:G11)</f>
        <v>380000</v>
      </c>
      <c r="K3" s="2" t="n">
        <f aca="false">SUMIF(G3:G11,"&gt;50000")</f>
        <v>127000</v>
      </c>
      <c r="L3" s="2" t="n">
        <f aca="false">SUMIFS(G3:G11,E3:E11,"f",D3:D11,"&gt;30")</f>
        <v>54000</v>
      </c>
    </row>
    <row r="4" customFormat="false" ht="12.8" hidden="false" customHeight="false" outlineLevel="0" collapsed="false">
      <c r="A4" s="6" t="n">
        <v>1002</v>
      </c>
      <c r="B4" s="6" t="s">
        <v>16</v>
      </c>
      <c r="C4" s="6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7" t="s">
        <v>59</v>
      </c>
      <c r="I4" s="7" t="n">
        <v>42287</v>
      </c>
    </row>
    <row r="5" customFormat="false" ht="12.8" hidden="false" customHeight="false" outlineLevel="0" collapsed="false">
      <c r="A5" s="6" t="n">
        <v>1003</v>
      </c>
      <c r="B5" s="6" t="s">
        <v>21</v>
      </c>
      <c r="C5" s="6" t="s">
        <v>22</v>
      </c>
      <c r="D5" s="6" t="n">
        <v>29</v>
      </c>
      <c r="E5" s="6" t="s">
        <v>18</v>
      </c>
      <c r="F5" s="6" t="s">
        <v>23</v>
      </c>
      <c r="G5" s="6" t="n">
        <v>63000</v>
      </c>
      <c r="H5" s="7" t="s">
        <v>60</v>
      </c>
      <c r="I5" s="7" t="n">
        <v>43049</v>
      </c>
    </row>
    <row r="6" customFormat="false" ht="12.8" hidden="false" customHeight="false" outlineLevel="0" collapsed="false">
      <c r="A6" s="6" t="n">
        <v>1004</v>
      </c>
      <c r="B6" s="6" t="s">
        <v>25</v>
      </c>
      <c r="C6" s="6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7" t="s">
        <v>61</v>
      </c>
      <c r="I6" s="7" t="n">
        <v>42289</v>
      </c>
    </row>
    <row r="7" customFormat="false" ht="12.8" hidden="false" customHeight="false" outlineLevel="0" collapsed="false">
      <c r="A7" s="6" t="n">
        <v>1005</v>
      </c>
      <c r="B7" s="6" t="s">
        <v>29</v>
      </c>
      <c r="C7" s="6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7" t="s">
        <v>61</v>
      </c>
      <c r="I7" s="7" t="s">
        <v>31</v>
      </c>
    </row>
    <row r="8" customFormat="false" ht="12.8" hidden="false" customHeight="false" outlineLevel="0" collapsed="false">
      <c r="A8" s="6" t="n">
        <v>1006</v>
      </c>
      <c r="B8" s="6" t="s">
        <v>33</v>
      </c>
      <c r="C8" s="6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7" t="s">
        <v>62</v>
      </c>
      <c r="I8" s="7" t="s">
        <v>36</v>
      </c>
    </row>
    <row r="9" customFormat="false" ht="12.8" hidden="false" customHeight="false" outlineLevel="0" collapsed="false">
      <c r="A9" s="6" t="n">
        <v>1007</v>
      </c>
      <c r="B9" s="6" t="s">
        <v>38</v>
      </c>
      <c r="C9" s="6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7" t="s">
        <v>41</v>
      </c>
      <c r="I9" s="7" t="s">
        <v>36</v>
      </c>
    </row>
    <row r="10" customFormat="false" ht="12.8" hidden="false" customHeight="false" outlineLevel="0" collapsed="false">
      <c r="A10" s="6" t="n">
        <v>1008</v>
      </c>
      <c r="B10" s="6" t="s">
        <v>43</v>
      </c>
      <c r="C10" s="6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7" t="s">
        <v>45</v>
      </c>
      <c r="I10" s="7" t="s">
        <v>46</v>
      </c>
    </row>
    <row r="11" customFormat="false" ht="12.8" hidden="false" customHeight="false" outlineLevel="0" collapsed="false">
      <c r="A11" s="6" t="n">
        <v>1009</v>
      </c>
      <c r="B11" s="6" t="s">
        <v>48</v>
      </c>
      <c r="C11" s="6" t="s">
        <v>49</v>
      </c>
      <c r="D11" s="6" t="n">
        <v>31</v>
      </c>
      <c r="E11" s="6" t="s">
        <v>18</v>
      </c>
      <c r="F11" s="6" t="s">
        <v>23</v>
      </c>
      <c r="G11" s="6" t="n">
        <v>33000</v>
      </c>
      <c r="H11" s="7" t="s">
        <v>50</v>
      </c>
      <c r="I11" s="7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M13" activeCellId="0" sqref="M1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" t="s">
        <v>57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2" t="s">
        <v>79</v>
      </c>
      <c r="K2" s="2" t="s">
        <v>80</v>
      </c>
      <c r="L2" s="2" t="s">
        <v>81</v>
      </c>
    </row>
    <row r="3" customFormat="false" ht="12.8" hidden="false" customHeight="false" outlineLevel="0" collapsed="false">
      <c r="A3" s="6" t="n">
        <v>1001</v>
      </c>
      <c r="B3" s="6" t="s">
        <v>11</v>
      </c>
      <c r="C3" s="6" t="s">
        <v>12</v>
      </c>
      <c r="D3" s="6" t="n">
        <v>30</v>
      </c>
      <c r="E3" s="6" t="s">
        <v>13</v>
      </c>
      <c r="F3" s="6" t="s">
        <v>14</v>
      </c>
      <c r="G3" s="6" t="n">
        <v>45000</v>
      </c>
      <c r="H3" s="7" t="s">
        <v>58</v>
      </c>
      <c r="I3" s="7" t="n">
        <v>42253</v>
      </c>
      <c r="J3" s="2" t="n">
        <f aca="false">COUNT(G3:G11)</f>
        <v>9</v>
      </c>
      <c r="K3" s="2" t="n">
        <f aca="false">COUNTIF(G3:G11,"&gt;40000")</f>
        <v>5</v>
      </c>
      <c r="L3" s="2" t="n">
        <f aca="false">COUNTIFS(A3:A11,"&gt;1005",E3:E11,"m")</f>
        <v>2</v>
      </c>
    </row>
    <row r="4" customFormat="false" ht="12.8" hidden="false" customHeight="false" outlineLevel="0" collapsed="false">
      <c r="A4" s="6" t="n">
        <v>1002</v>
      </c>
      <c r="B4" s="6" t="s">
        <v>16</v>
      </c>
      <c r="C4" s="6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7" t="s">
        <v>59</v>
      </c>
      <c r="I4" s="7" t="n">
        <v>42287</v>
      </c>
    </row>
    <row r="5" customFormat="false" ht="12.8" hidden="false" customHeight="false" outlineLevel="0" collapsed="false">
      <c r="A5" s="6" t="n">
        <v>1003</v>
      </c>
      <c r="B5" s="6" t="s">
        <v>21</v>
      </c>
      <c r="C5" s="6" t="s">
        <v>22</v>
      </c>
      <c r="D5" s="6" t="n">
        <v>29</v>
      </c>
      <c r="E5" s="6" t="s">
        <v>18</v>
      </c>
      <c r="F5" s="6" t="s">
        <v>23</v>
      </c>
      <c r="G5" s="6" t="n">
        <v>63000</v>
      </c>
      <c r="H5" s="7" t="s">
        <v>60</v>
      </c>
      <c r="I5" s="7" t="n">
        <v>43049</v>
      </c>
    </row>
    <row r="6" customFormat="false" ht="12.8" hidden="false" customHeight="false" outlineLevel="0" collapsed="false">
      <c r="A6" s="6" t="n">
        <v>1004</v>
      </c>
      <c r="B6" s="6" t="s">
        <v>25</v>
      </c>
      <c r="C6" s="6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7" t="s">
        <v>61</v>
      </c>
      <c r="I6" s="7" t="n">
        <v>42289</v>
      </c>
    </row>
    <row r="7" customFormat="false" ht="12.8" hidden="false" customHeight="false" outlineLevel="0" collapsed="false">
      <c r="A7" s="6" t="n">
        <v>1005</v>
      </c>
      <c r="B7" s="6" t="s">
        <v>29</v>
      </c>
      <c r="C7" s="6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7" t="s">
        <v>61</v>
      </c>
      <c r="I7" s="7" t="s">
        <v>31</v>
      </c>
    </row>
    <row r="8" customFormat="false" ht="12.8" hidden="false" customHeight="false" outlineLevel="0" collapsed="false">
      <c r="A8" s="6" t="n">
        <v>1006</v>
      </c>
      <c r="B8" s="6" t="s">
        <v>33</v>
      </c>
      <c r="C8" s="6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7" t="s">
        <v>62</v>
      </c>
      <c r="I8" s="7" t="s">
        <v>36</v>
      </c>
    </row>
    <row r="9" customFormat="false" ht="12.8" hidden="false" customHeight="false" outlineLevel="0" collapsed="false">
      <c r="A9" s="6" t="n">
        <v>1007</v>
      </c>
      <c r="B9" s="6" t="s">
        <v>38</v>
      </c>
      <c r="C9" s="6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7" t="s">
        <v>41</v>
      </c>
      <c r="I9" s="7" t="s">
        <v>36</v>
      </c>
    </row>
    <row r="10" customFormat="false" ht="12.8" hidden="false" customHeight="false" outlineLevel="0" collapsed="false">
      <c r="A10" s="6" t="n">
        <v>1008</v>
      </c>
      <c r="B10" s="6" t="s">
        <v>43</v>
      </c>
      <c r="C10" s="6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7" t="s">
        <v>45</v>
      </c>
      <c r="I10" s="7" t="s">
        <v>46</v>
      </c>
    </row>
    <row r="11" customFormat="false" ht="12.8" hidden="false" customHeight="false" outlineLevel="0" collapsed="false">
      <c r="A11" s="6" t="n">
        <v>1009</v>
      </c>
      <c r="B11" s="6" t="s">
        <v>48</v>
      </c>
      <c r="C11" s="6" t="s">
        <v>49</v>
      </c>
      <c r="D11" s="6" t="n">
        <v>31</v>
      </c>
      <c r="E11" s="6" t="s">
        <v>18</v>
      </c>
      <c r="F11" s="6" t="s">
        <v>23</v>
      </c>
      <c r="G11" s="6" t="n">
        <v>33000</v>
      </c>
      <c r="H11" s="7" t="s">
        <v>50</v>
      </c>
      <c r="I11" s="7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17" activeCellId="0" sqref="I17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57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 t="s">
        <v>6</v>
      </c>
      <c r="I2" s="1" t="s">
        <v>7</v>
      </c>
      <c r="J2" s="2" t="s">
        <v>82</v>
      </c>
      <c r="K2" s="2" t="s">
        <v>83</v>
      </c>
    </row>
    <row r="3" customFormat="false" ht="12.8" hidden="false" customHeight="false" outlineLevel="0" collapsed="false">
      <c r="A3" s="6" t="n">
        <v>1001</v>
      </c>
      <c r="B3" s="6" t="s">
        <v>11</v>
      </c>
      <c r="C3" s="6" t="s">
        <v>12</v>
      </c>
      <c r="D3" s="6" t="n">
        <v>30</v>
      </c>
      <c r="E3" s="6" t="s">
        <v>13</v>
      </c>
      <c r="F3" s="6" t="s">
        <v>14</v>
      </c>
      <c r="G3" s="6" t="n">
        <v>45000</v>
      </c>
      <c r="H3" s="14" t="s">
        <v>58</v>
      </c>
      <c r="I3" s="15" t="s">
        <v>84</v>
      </c>
      <c r="J3" s="16" t="s">
        <v>85</v>
      </c>
    </row>
    <row r="4" customFormat="false" ht="12.8" hidden="false" customHeight="false" outlineLevel="0" collapsed="false">
      <c r="A4" s="6" t="n">
        <v>1002</v>
      </c>
      <c r="B4" s="6" t="s">
        <v>16</v>
      </c>
      <c r="C4" s="6" t="s">
        <v>17</v>
      </c>
      <c r="D4" s="6" t="n">
        <v>30</v>
      </c>
      <c r="E4" s="6" t="s">
        <v>18</v>
      </c>
      <c r="F4" s="6" t="s">
        <v>19</v>
      </c>
      <c r="G4" s="6" t="n">
        <v>36000</v>
      </c>
      <c r="H4" s="14" t="s">
        <v>59</v>
      </c>
      <c r="I4" s="14" t="s">
        <v>84</v>
      </c>
      <c r="J4" s="17"/>
    </row>
    <row r="5" customFormat="false" ht="12.8" hidden="false" customHeight="false" outlineLevel="0" collapsed="false">
      <c r="A5" s="6" t="n">
        <v>1003</v>
      </c>
      <c r="B5" s="6" t="s">
        <v>21</v>
      </c>
      <c r="C5" s="6" t="s">
        <v>22</v>
      </c>
      <c r="D5" s="6" t="n">
        <v>29</v>
      </c>
      <c r="E5" s="6" t="s">
        <v>18</v>
      </c>
      <c r="F5" s="6" t="s">
        <v>23</v>
      </c>
      <c r="G5" s="6" t="n">
        <v>63000</v>
      </c>
      <c r="H5" s="14" t="s">
        <v>60</v>
      </c>
      <c r="I5" s="14" t="s">
        <v>86</v>
      </c>
      <c r="J5" s="17"/>
    </row>
    <row r="6" customFormat="false" ht="12.8" hidden="false" customHeight="false" outlineLevel="0" collapsed="false">
      <c r="A6" s="6" t="n">
        <v>1004</v>
      </c>
      <c r="B6" s="6" t="s">
        <v>25</v>
      </c>
      <c r="C6" s="6" t="s">
        <v>26</v>
      </c>
      <c r="D6" s="6" t="n">
        <v>31</v>
      </c>
      <c r="E6" s="6" t="s">
        <v>13</v>
      </c>
      <c r="F6" s="6" t="s">
        <v>27</v>
      </c>
      <c r="G6" s="6" t="n">
        <v>50000</v>
      </c>
      <c r="H6" s="14" t="s">
        <v>61</v>
      </c>
      <c r="I6" s="14" t="s">
        <v>84</v>
      </c>
      <c r="J6" s="17"/>
    </row>
    <row r="7" customFormat="false" ht="12.8" hidden="false" customHeight="false" outlineLevel="0" collapsed="false">
      <c r="A7" s="6" t="n">
        <v>1005</v>
      </c>
      <c r="B7" s="6" t="s">
        <v>29</v>
      </c>
      <c r="C7" s="6" t="s">
        <v>30</v>
      </c>
      <c r="D7" s="6" t="n">
        <v>32</v>
      </c>
      <c r="E7" s="6" t="s">
        <v>13</v>
      </c>
      <c r="F7" s="6" t="s">
        <v>23</v>
      </c>
      <c r="G7" s="6" t="n">
        <v>64000</v>
      </c>
      <c r="H7" s="14" t="s">
        <v>61</v>
      </c>
      <c r="I7" s="14" t="s">
        <v>31</v>
      </c>
      <c r="J7" s="17"/>
    </row>
    <row r="8" customFormat="false" ht="12.8" hidden="false" customHeight="false" outlineLevel="0" collapsed="false">
      <c r="A8" s="6" t="n">
        <v>1006</v>
      </c>
      <c r="B8" s="6" t="s">
        <v>33</v>
      </c>
      <c r="C8" s="6" t="s">
        <v>34</v>
      </c>
      <c r="D8" s="6" t="n">
        <v>35</v>
      </c>
      <c r="E8" s="6" t="s">
        <v>18</v>
      </c>
      <c r="F8" s="6" t="s">
        <v>35</v>
      </c>
      <c r="G8" s="6" t="n">
        <v>21000</v>
      </c>
      <c r="H8" s="14" t="s">
        <v>62</v>
      </c>
      <c r="I8" s="14" t="s">
        <v>36</v>
      </c>
      <c r="J8" s="17"/>
    </row>
    <row r="9" customFormat="false" ht="12.8" hidden="false" customHeight="false" outlineLevel="0" collapsed="false">
      <c r="A9" s="6" t="n">
        <v>1007</v>
      </c>
      <c r="B9" s="6" t="s">
        <v>38</v>
      </c>
      <c r="C9" s="6" t="s">
        <v>39</v>
      </c>
      <c r="D9" s="6" t="n">
        <v>32</v>
      </c>
      <c r="E9" s="6" t="s">
        <v>13</v>
      </c>
      <c r="F9" s="6" t="s">
        <v>40</v>
      </c>
      <c r="G9" s="6" t="n">
        <v>20000</v>
      </c>
      <c r="H9" s="14" t="s">
        <v>41</v>
      </c>
      <c r="I9" s="14" t="s">
        <v>36</v>
      </c>
      <c r="J9" s="17"/>
    </row>
    <row r="10" customFormat="false" ht="12.8" hidden="false" customHeight="false" outlineLevel="0" collapsed="false">
      <c r="A10" s="6" t="n">
        <v>1008</v>
      </c>
      <c r="B10" s="6" t="s">
        <v>43</v>
      </c>
      <c r="C10" s="6" t="s">
        <v>44</v>
      </c>
      <c r="D10" s="6" t="n">
        <v>38</v>
      </c>
      <c r="E10" s="6" t="s">
        <v>13</v>
      </c>
      <c r="F10" s="6" t="s">
        <v>14</v>
      </c>
      <c r="G10" s="6" t="n">
        <v>48000</v>
      </c>
      <c r="H10" s="14" t="s">
        <v>45</v>
      </c>
      <c r="I10" s="14" t="s">
        <v>46</v>
      </c>
      <c r="J10" s="17"/>
    </row>
    <row r="11" customFormat="false" ht="12.8" hidden="false" customHeight="false" outlineLevel="0" collapsed="false">
      <c r="A11" s="6" t="n">
        <v>1009</v>
      </c>
      <c r="B11" s="6" t="s">
        <v>48</v>
      </c>
      <c r="C11" s="6" t="s">
        <v>49</v>
      </c>
      <c r="D11" s="6" t="n">
        <v>31</v>
      </c>
      <c r="E11" s="6" t="s">
        <v>18</v>
      </c>
      <c r="F11" s="6" t="s">
        <v>23</v>
      </c>
      <c r="G11" s="6" t="n">
        <v>33000</v>
      </c>
      <c r="H11" s="14" t="s">
        <v>50</v>
      </c>
      <c r="I11" s="14" t="s">
        <v>46</v>
      </c>
      <c r="J11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7"/>
  <sheetViews>
    <sheetView showFormulas="false" showGridLines="true" showRowColHeaders="true" showZeros="true" rightToLeft="false" tabSelected="true" showOutlineSymbols="true" defaultGridColor="true" view="normal" topLeftCell="H2" colorId="64" zoomScale="120" zoomScaleNormal="120" zoomScalePageLayoutView="100" workbookViewId="0">
      <selection pane="topLeft" activeCell="B17" activeCellId="0" sqref="B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53"/>
    <col collapsed="false" customWidth="true" hidden="false" outlineLevel="0" max="2" min="2" style="0" width="26.08"/>
    <col collapsed="false" customWidth="true" hidden="false" outlineLevel="0" max="6" min="6" style="0" width="15.53"/>
    <col collapsed="false" customWidth="true" hidden="false" outlineLevel="0" max="13" min="13" style="0" width="40.8"/>
  </cols>
  <sheetData>
    <row r="2" customFormat="false" ht="12.8" hidden="false" customHeight="false" outlineLevel="0" collapsed="false">
      <c r="A2" s="0" t="s">
        <v>87</v>
      </c>
      <c r="B2" s="0" t="s">
        <v>8</v>
      </c>
      <c r="C2" s="18" t="s">
        <v>57</v>
      </c>
      <c r="D2" s="18" t="s">
        <v>0</v>
      </c>
      <c r="E2" s="18" t="s">
        <v>1</v>
      </c>
      <c r="F2" s="19" t="s">
        <v>87</v>
      </c>
      <c r="G2" s="18" t="s">
        <v>2</v>
      </c>
      <c r="H2" s="18" t="s">
        <v>3</v>
      </c>
      <c r="I2" s="18" t="s">
        <v>4</v>
      </c>
      <c r="J2" s="18" t="s">
        <v>5</v>
      </c>
      <c r="K2" s="20" t="s">
        <v>6</v>
      </c>
      <c r="L2" s="20" t="s">
        <v>7</v>
      </c>
      <c r="M2" s="18" t="s">
        <v>69</v>
      </c>
      <c r="N2" s="2"/>
      <c r="O2" s="2"/>
      <c r="P2" s="2"/>
    </row>
    <row r="3" customFormat="false" ht="12.8" hidden="false" customHeight="false" outlineLevel="0" collapsed="false">
      <c r="A3" s="0" t="str">
        <f aca="false">CONCATENATE(D3," ",E3)</f>
        <v>jim HA</v>
      </c>
      <c r="B3" s="0" t="str">
        <f aca="false">LOOKUP(A3,F3:F11,M3:M11)</f>
        <v>jim.HA@Gmail.com</v>
      </c>
      <c r="C3" s="21" t="n">
        <v>1001</v>
      </c>
      <c r="D3" s="21" t="s">
        <v>11</v>
      </c>
      <c r="E3" s="21" t="s">
        <v>12</v>
      </c>
      <c r="F3" s="0" t="str">
        <f aca="false">CONCATENATE(D3:D11," ",E3:E11)</f>
        <v>jim HA</v>
      </c>
      <c r="G3" s="21" t="n">
        <v>30</v>
      </c>
      <c r="H3" s="21" t="s">
        <v>13</v>
      </c>
      <c r="I3" s="21" t="s">
        <v>14</v>
      </c>
      <c r="J3" s="21" t="n">
        <v>45000</v>
      </c>
      <c r="K3" s="20" t="s">
        <v>58</v>
      </c>
      <c r="L3" s="20" t="n">
        <v>42253</v>
      </c>
      <c r="M3" s="18" t="str">
        <f aca="false">CONCATENATE(D3,".",E3,"@Gmail.com")</f>
        <v>jim.HA@Gmail.com</v>
      </c>
    </row>
    <row r="4" customFormat="false" ht="12.8" hidden="false" customHeight="false" outlineLevel="0" collapsed="false">
      <c r="A4" s="0" t="str">
        <f aca="false">CONCATENATE(D4," ",E4)</f>
        <v>pam SC</v>
      </c>
      <c r="B4" s="0" t="str">
        <f aca="false">LOOKUP(A4,F4:F12,M4:M12)</f>
        <v>pam.SC@Gmail.com</v>
      </c>
      <c r="C4" s="21" t="n">
        <v>1002</v>
      </c>
      <c r="D4" s="21" t="s">
        <v>16</v>
      </c>
      <c r="E4" s="21" t="s">
        <v>17</v>
      </c>
      <c r="F4" s="0" t="str">
        <f aca="false">CONCATENATE(D4:D12," ",E4:E12)</f>
        <v>pam SC</v>
      </c>
      <c r="G4" s="21" t="n">
        <v>30</v>
      </c>
      <c r="H4" s="21" t="s">
        <v>18</v>
      </c>
      <c r="I4" s="21" t="s">
        <v>19</v>
      </c>
      <c r="J4" s="21" t="n">
        <v>36000</v>
      </c>
      <c r="K4" s="20" t="s">
        <v>59</v>
      </c>
      <c r="L4" s="20" t="n">
        <v>42287</v>
      </c>
      <c r="M4" s="18" t="str">
        <f aca="false">CONCATENATE(D4,".",E4,"@Gmail.com")</f>
        <v>pam.SC@Gmail.com</v>
      </c>
    </row>
    <row r="5" customFormat="false" ht="12.8" hidden="false" customHeight="false" outlineLevel="0" collapsed="false">
      <c r="A5" s="0" t="str">
        <f aca="false">CONCATENATE(D5," ",E5)</f>
        <v>angela MA</v>
      </c>
      <c r="B5" s="0" t="str">
        <f aca="false">LOOKUP(A5,F5:F13,M5:M13)</f>
        <v>angela.MA@Gmail.com</v>
      </c>
      <c r="C5" s="21" t="n">
        <v>1003</v>
      </c>
      <c r="D5" s="21" t="s">
        <v>21</v>
      </c>
      <c r="E5" s="21" t="s">
        <v>22</v>
      </c>
      <c r="F5" s="0" t="str">
        <f aca="false">CONCATENATE(D5:D13," ",E5:E13)</f>
        <v>angela MA</v>
      </c>
      <c r="G5" s="21" t="n">
        <v>29</v>
      </c>
      <c r="H5" s="21" t="s">
        <v>18</v>
      </c>
      <c r="I5" s="21" t="s">
        <v>23</v>
      </c>
      <c r="J5" s="21" t="n">
        <v>63000</v>
      </c>
      <c r="K5" s="20" t="s">
        <v>60</v>
      </c>
      <c r="L5" s="20" t="n">
        <v>43049</v>
      </c>
      <c r="M5" s="18" t="str">
        <f aca="false">CONCATENATE(D5,".",E5,"@Gmail.com")</f>
        <v>angela.MA@Gmail.com</v>
      </c>
    </row>
    <row r="6" customFormat="false" ht="12.8" hidden="false" customHeight="false" outlineLevel="0" collapsed="false">
      <c r="A6" s="0" t="str">
        <f aca="false">CONCATENATE(D6," ",E6)</f>
        <v>Toby Fl</v>
      </c>
      <c r="B6" s="0" t="str">
        <f aca="false">LOOKUP(A6,F6:F14,M6:M14)</f>
        <v>Toby.Fl@Gmail.com</v>
      </c>
      <c r="C6" s="21" t="n">
        <v>1004</v>
      </c>
      <c r="D6" s="21" t="s">
        <v>25</v>
      </c>
      <c r="E6" s="21" t="s">
        <v>26</v>
      </c>
      <c r="F6" s="0" t="str">
        <f aca="false">CONCATENATE(D6:D14," ",E6:E14)</f>
        <v>Toby Fl</v>
      </c>
      <c r="G6" s="21" t="n">
        <v>31</v>
      </c>
      <c r="H6" s="21" t="s">
        <v>13</v>
      </c>
      <c r="I6" s="21" t="s">
        <v>27</v>
      </c>
      <c r="J6" s="21" t="n">
        <v>50000</v>
      </c>
      <c r="K6" s="20" t="s">
        <v>61</v>
      </c>
      <c r="L6" s="20" t="n">
        <v>42289</v>
      </c>
      <c r="M6" s="18" t="str">
        <f aca="false">CONCATENATE(D6,".",E6,"@Gmail.com")</f>
        <v>Toby.Fl@Gmail.com</v>
      </c>
    </row>
    <row r="7" customFormat="false" ht="12.8" hidden="false" customHeight="false" outlineLevel="0" collapsed="false">
      <c r="A7" s="0" t="str">
        <f aca="false">CONCATENATE(D7," ",E7)</f>
        <v>Michael Sc</v>
      </c>
      <c r="B7" s="0" t="str">
        <f aca="false">LOOKUP(A7,F7:F15,M7:M15)</f>
        <v>Michael.Sc@Gmail.com</v>
      </c>
      <c r="C7" s="21" t="n">
        <v>1005</v>
      </c>
      <c r="D7" s="21" t="s">
        <v>29</v>
      </c>
      <c r="E7" s="21" t="s">
        <v>30</v>
      </c>
      <c r="F7" s="0" t="str">
        <f aca="false">CONCATENATE(D7:D15," ",E7:E15)</f>
        <v>Michael Sc</v>
      </c>
      <c r="G7" s="21" t="n">
        <v>32</v>
      </c>
      <c r="H7" s="21" t="s">
        <v>13</v>
      </c>
      <c r="I7" s="21" t="s">
        <v>23</v>
      </c>
      <c r="J7" s="21" t="n">
        <v>64000</v>
      </c>
      <c r="K7" s="20" t="s">
        <v>61</v>
      </c>
      <c r="L7" s="20" t="s">
        <v>31</v>
      </c>
      <c r="M7" s="18" t="str">
        <f aca="false">CONCATENATE(D7,".",E7,"@Gmail.com")</f>
        <v>Michael.Sc@Gmail.com</v>
      </c>
    </row>
    <row r="8" customFormat="false" ht="12.8" hidden="false" customHeight="false" outlineLevel="0" collapsed="false">
      <c r="A8" s="0" t="str">
        <f aca="false">CONCATENATE(D8," ",E8)</f>
        <v>Meredith Pl</v>
      </c>
      <c r="B8" s="0" t="str">
        <f aca="false">LOOKUP(A8,F8:F16,M8:M16)</f>
        <v>Meredith.Pl@Gmail.com</v>
      </c>
      <c r="C8" s="21" t="n">
        <v>1006</v>
      </c>
      <c r="D8" s="21" t="s">
        <v>33</v>
      </c>
      <c r="E8" s="21" t="s">
        <v>34</v>
      </c>
      <c r="F8" s="0" t="str">
        <f aca="false">CONCATENATE(D8:D16," ",E8:E16)</f>
        <v>Meredith Pl</v>
      </c>
      <c r="G8" s="21" t="n">
        <v>35</v>
      </c>
      <c r="H8" s="21" t="s">
        <v>18</v>
      </c>
      <c r="I8" s="21" t="s">
        <v>35</v>
      </c>
      <c r="J8" s="21" t="n">
        <v>21000</v>
      </c>
      <c r="K8" s="20" t="s">
        <v>62</v>
      </c>
      <c r="L8" s="20" t="s">
        <v>36</v>
      </c>
      <c r="M8" s="18" t="str">
        <f aca="false">CONCATENATE(D8,".",E8,"@Gmail.com")</f>
        <v>Meredith.Pl@Gmail.com</v>
      </c>
    </row>
    <row r="9" customFormat="false" ht="12.8" hidden="false" customHeight="false" outlineLevel="0" collapsed="false">
      <c r="A9" s="0" t="str">
        <f aca="false">CONCATENATE(D9," ",E9)</f>
        <v>stanley Hudson</v>
      </c>
      <c r="B9" s="0" t="str">
        <f aca="false">LOOKUP(A9,F9:F17,M9:M17)</f>
        <v>stanley.Hudson@Gmail.com</v>
      </c>
      <c r="C9" s="21" t="n">
        <v>1007</v>
      </c>
      <c r="D9" s="21" t="s">
        <v>38</v>
      </c>
      <c r="E9" s="21" t="s">
        <v>39</v>
      </c>
      <c r="F9" s="0" t="str">
        <f aca="false">CONCATENATE(D9:D17," ",E9:E17)</f>
        <v>stanley Hudson</v>
      </c>
      <c r="G9" s="21" t="n">
        <v>32</v>
      </c>
      <c r="H9" s="21" t="s">
        <v>13</v>
      </c>
      <c r="I9" s="21" t="s">
        <v>40</v>
      </c>
      <c r="J9" s="21" t="n">
        <v>20000</v>
      </c>
      <c r="K9" s="20" t="s">
        <v>41</v>
      </c>
      <c r="L9" s="20" t="s">
        <v>36</v>
      </c>
      <c r="M9" s="18" t="str">
        <f aca="false">CONCATENATE(D9,".",E9,"@Gmail.com")</f>
        <v>stanley.Hudson@Gmail.com</v>
      </c>
    </row>
    <row r="10" customFormat="false" ht="12.8" hidden="false" customHeight="false" outlineLevel="0" collapsed="false">
      <c r="A10" s="0" t="str">
        <f aca="false">CONCATENATE(D10," ",E10)</f>
        <v>Kevin Malone</v>
      </c>
      <c r="B10" s="0" t="str">
        <f aca="false">LOOKUP(A10,F10:F18,M10:M18)</f>
        <v>Kevin.Malone@Gmail.com</v>
      </c>
      <c r="C10" s="21" t="n">
        <v>1008</v>
      </c>
      <c r="D10" s="21" t="s">
        <v>43</v>
      </c>
      <c r="E10" s="21" t="s">
        <v>44</v>
      </c>
      <c r="F10" s="0" t="str">
        <f aca="false">CONCATENATE(D10:D18," ",E10:E18)</f>
        <v>Kevin Malone</v>
      </c>
      <c r="G10" s="21" t="n">
        <v>38</v>
      </c>
      <c r="H10" s="21" t="s">
        <v>13</v>
      </c>
      <c r="I10" s="21" t="s">
        <v>14</v>
      </c>
      <c r="J10" s="21" t="n">
        <v>48000</v>
      </c>
      <c r="K10" s="20" t="s">
        <v>45</v>
      </c>
      <c r="L10" s="20" t="s">
        <v>46</v>
      </c>
      <c r="M10" s="18" t="str">
        <f aca="false">CONCATENATE(D10,".",E10,"@Gmail.com")</f>
        <v>Kevin.Malone@Gmail.com</v>
      </c>
    </row>
    <row r="11" customFormat="false" ht="12.8" hidden="false" customHeight="false" outlineLevel="0" collapsed="false">
      <c r="A11" s="0" t="str">
        <f aca="false">CONCATENATE(D11," ",E11)</f>
        <v>nfas ad</v>
      </c>
      <c r="B11" s="0" t="str">
        <f aca="false">LOOKUP(A11,F11:F19,M11:M19)</f>
        <v>nfas.ad@Gmail.com</v>
      </c>
      <c r="C11" s="21" t="n">
        <v>1009</v>
      </c>
      <c r="D11" s="21" t="s">
        <v>48</v>
      </c>
      <c r="E11" s="21" t="s">
        <v>49</v>
      </c>
      <c r="F11" s="0" t="str">
        <f aca="false">CONCATENATE(D11:D19," ",E11:E19)</f>
        <v>nfas ad</v>
      </c>
      <c r="G11" s="21" t="n">
        <v>31</v>
      </c>
      <c r="H11" s="21" t="s">
        <v>18</v>
      </c>
      <c r="I11" s="21" t="s">
        <v>23</v>
      </c>
      <c r="J11" s="21" t="n">
        <v>33000</v>
      </c>
      <c r="K11" s="20" t="s">
        <v>50</v>
      </c>
      <c r="L11" s="20" t="s">
        <v>46</v>
      </c>
      <c r="M11" s="18" t="str">
        <f aca="false">CONCATENATE(D11,".",E11,"@Gmail.com")</f>
        <v>nfas.ad@Gmail.com</v>
      </c>
    </row>
    <row r="17" customFormat="false" ht="12.8" hidden="false" customHeight="false" outlineLevel="0" collapsed="false">
      <c r="B17" s="0" t="e">
        <f aca="false">HLOOKUP(A3,F3:F11,)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2025-06-11T15:50:14Z</dcterms:created>
  <dc:creator/>
  <dc:description/>
  <dc:language>en-US</dc:language>
  <cp:lastModifiedBy/>
  <dcterms:modified xsi:type="dcterms:W3CDTF">2025-06-25T01:10:45Z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